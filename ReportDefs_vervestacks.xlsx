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syn_5\"/>
    </mc:Choice>
  </mc:AlternateContent>
  <xr:revisionPtr revIDLastSave="0" documentId="8_{DFDB63D9-5188-4584-843D-9A4C3C9C035C}" xr6:coauthVersionLast="47" xr6:coauthVersionMax="47" xr10:uidLastSave="{00000000-0000-0000-0000-000000000000}"/>
  <bookViews>
    <workbookView xWindow="2730" yWindow="2730" windowWidth="21600" windowHeight="11295" firstSheet="2" activeTab="2" xr2:uid="{00000000-000D-0000-FFFF-FFFF00000000}"/>
  </bookViews>
  <sheets>
    <sheet name="ScenMap_OLD" sheetId="70" r:id="rId1"/>
    <sheet name="ScenMap" sheetId="56" r:id="rId2"/>
    <sheet name="geolocation" sheetId="72" r:id="rId3"/>
    <sheet name="process_map_geo" sheetId="71" r:id="rId4"/>
    <sheet name="TS_Defs" sheetId="27" r:id="rId5"/>
    <sheet name="TS_ratios" sheetId="68" r:id="rId6"/>
    <sheet name="Sankey" sheetId="69" r:id="rId7"/>
    <sheet name="PSet_MAP" sheetId="57" r:id="rId8"/>
    <sheet name="CSET_MAP" sheetId="66" r:id="rId9"/>
    <sheet name="CName_MAP" sheetId="58" r:id="rId10"/>
    <sheet name="timeslice map" sheetId="64" r:id="rId11"/>
    <sheet name="process map" sheetId="65" r:id="rId12"/>
    <sheet name="commodity map" sheetId="67" r:id="rId13"/>
    <sheet name="ATS" sheetId="63" r:id="rId14"/>
    <sheet name="UnitConv" sheetId="59" r:id="rId15"/>
  </sheets>
  <definedNames>
    <definedName name="_xlnm._FilterDatabase" localSheetId="4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5" i="56" l="1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O23" i="70"/>
  <c r="O28" i="70" s="1"/>
  <c r="O33" i="70" s="1"/>
  <c r="O38" i="70" s="1"/>
  <c r="O43" i="70" s="1"/>
  <c r="O48" i="70" s="1"/>
  <c r="O53" i="70" s="1"/>
  <c r="O58" i="70" s="1"/>
  <c r="I23" i="70"/>
  <c r="I28" i="70" s="1"/>
  <c r="A21" i="70"/>
  <c r="Q21" i="70" s="1"/>
  <c r="J21" i="70" s="1"/>
  <c r="Q20" i="70"/>
  <c r="O20" i="70"/>
  <c r="O25" i="70" s="1"/>
  <c r="O30" i="70" s="1"/>
  <c r="O35" i="70" s="1"/>
  <c r="O40" i="70" s="1"/>
  <c r="O45" i="70" s="1"/>
  <c r="O50" i="70" s="1"/>
  <c r="O55" i="70" s="1"/>
  <c r="O60" i="70" s="1"/>
  <c r="J20" i="70"/>
  <c r="B20" i="70"/>
  <c r="A20" i="70"/>
  <c r="A25" i="70" s="1"/>
  <c r="O19" i="70"/>
  <c r="O24" i="70" s="1"/>
  <c r="O29" i="70" s="1"/>
  <c r="O34" i="70" s="1"/>
  <c r="O39" i="70" s="1"/>
  <c r="O44" i="70" s="1"/>
  <c r="O49" i="70" s="1"/>
  <c r="O54" i="70" s="1"/>
  <c r="O59" i="70" s="1"/>
  <c r="O18" i="70"/>
  <c r="I18" i="70"/>
  <c r="B18" i="70"/>
  <c r="A18" i="70"/>
  <c r="Q18" i="70" s="1"/>
  <c r="J18" i="70" s="1"/>
  <c r="H18" i="70" s="1"/>
  <c r="C18" i="70" s="1"/>
  <c r="Q17" i="70"/>
  <c r="J17" i="70"/>
  <c r="A17" i="70"/>
  <c r="A22" i="70" s="1"/>
  <c r="A16" i="70"/>
  <c r="Q16" i="70" s="1"/>
  <c r="J16" i="70" s="1"/>
  <c r="Q15" i="70"/>
  <c r="J15" i="70" s="1"/>
  <c r="H15" i="70" s="1"/>
  <c r="C15" i="70" s="1"/>
  <c r="O15" i="70"/>
  <c r="I15" i="70"/>
  <c r="I20" i="70" s="1"/>
  <c r="B15" i="70"/>
  <c r="A15" i="70"/>
  <c r="Q14" i="70"/>
  <c r="O14" i="70"/>
  <c r="B14" i="70" s="1"/>
  <c r="J14" i="70"/>
  <c r="I14" i="70"/>
  <c r="I19" i="70" s="1"/>
  <c r="H14" i="70"/>
  <c r="C14" i="70" s="1"/>
  <c r="A14" i="70"/>
  <c r="A19" i="70" s="1"/>
  <c r="O13" i="70"/>
  <c r="I13" i="70"/>
  <c r="B13" i="70"/>
  <c r="A13" i="70"/>
  <c r="Q13" i="70" s="1"/>
  <c r="J13" i="70" s="1"/>
  <c r="H13" i="70" s="1"/>
  <c r="C13" i="70" s="1"/>
  <c r="Q12" i="70"/>
  <c r="O12" i="70"/>
  <c r="O17" i="70" s="1"/>
  <c r="J12" i="70"/>
  <c r="I12" i="70"/>
  <c r="I17" i="70" s="1"/>
  <c r="H12" i="70"/>
  <c r="C12" i="70" s="1"/>
  <c r="B12" i="70"/>
  <c r="A12" i="70"/>
  <c r="Q11" i="70"/>
  <c r="O11" i="70"/>
  <c r="B11" i="70" s="1"/>
  <c r="J11" i="70"/>
  <c r="I11" i="70"/>
  <c r="H11" i="70" s="1"/>
  <c r="C11" i="70" s="1"/>
  <c r="A11" i="70"/>
  <c r="Q10" i="70"/>
  <c r="J10" i="70" s="1"/>
  <c r="H10" i="70" s="1"/>
  <c r="C10" i="70" s="1"/>
  <c r="B10" i="70"/>
  <c r="Q9" i="70"/>
  <c r="J9" i="70"/>
  <c r="H9" i="70"/>
  <c r="C9" i="70" s="1"/>
  <c r="B9" i="70"/>
  <c r="Q8" i="70"/>
  <c r="J8" i="70" s="1"/>
  <c r="H8" i="70" s="1"/>
  <c r="C8" i="70" s="1"/>
  <c r="B8" i="70"/>
  <c r="Q7" i="70"/>
  <c r="J7" i="70"/>
  <c r="H7" i="70"/>
  <c r="C7" i="70" s="1"/>
  <c r="B7" i="70"/>
  <c r="Q6" i="70"/>
  <c r="J6" i="70" s="1"/>
  <c r="H6" i="70" s="1"/>
  <c r="C6" i="70" s="1"/>
  <c r="B6" i="70"/>
  <c r="J5" i="70"/>
  <c r="I5" i="70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A27" i="70"/>
  <c r="Q22" i="70"/>
  <c r="J22" i="70" s="1"/>
  <c r="H20" i="70"/>
  <c r="C20" i="70" s="1"/>
  <c r="I25" i="70"/>
  <c r="H17" i="70"/>
  <c r="C17" i="70" s="1"/>
  <c r="I22" i="70"/>
  <c r="I24" i="70"/>
  <c r="I33" i="70"/>
  <c r="B17" i="70"/>
  <c r="O22" i="70"/>
  <c r="O27" i="70" s="1"/>
  <c r="O32" i="70" s="1"/>
  <c r="O37" i="70" s="1"/>
  <c r="O42" i="70" s="1"/>
  <c r="O47" i="70" s="1"/>
  <c r="O52" i="70" s="1"/>
  <c r="O57" i="70" s="1"/>
  <c r="B25" i="70"/>
  <c r="Q25" i="70"/>
  <c r="J25" i="70" s="1"/>
  <c r="A30" i="70"/>
  <c r="B19" i="70"/>
  <c r="A24" i="70"/>
  <c r="Q19" i="70"/>
  <c r="J19" i="70" s="1"/>
  <c r="H19" i="70" s="1"/>
  <c r="C19" i="70" s="1"/>
  <c r="A23" i="70"/>
  <c r="A26" i="70"/>
  <c r="I16" i="70"/>
  <c r="O16" i="70"/>
  <c r="B4" i="58"/>
  <c r="B5" i="58"/>
  <c r="B6" i="58"/>
  <c r="B7" i="58"/>
  <c r="B8" i="58"/>
  <c r="B9" i="58"/>
  <c r="B10" i="58"/>
  <c r="B11" i="58"/>
  <c r="B3" i="58"/>
  <c r="Q24" i="70" l="1"/>
  <c r="J24" i="70" s="1"/>
  <c r="B24" i="70"/>
  <c r="A29" i="70"/>
  <c r="B30" i="70"/>
  <c r="A35" i="70"/>
  <c r="Q30" i="70"/>
  <c r="J30" i="70" s="1"/>
  <c r="H24" i="70"/>
  <c r="C24" i="70" s="1"/>
  <c r="I29" i="70"/>
  <c r="H16" i="70"/>
  <c r="C16" i="70" s="1"/>
  <c r="I21" i="70"/>
  <c r="Q26" i="70"/>
  <c r="J26" i="70" s="1"/>
  <c r="A31" i="70"/>
  <c r="B23" i="70"/>
  <c r="Q23" i="70"/>
  <c r="J23" i="70" s="1"/>
  <c r="H23" i="70" s="1"/>
  <c r="C23" i="70" s="1"/>
  <c r="A28" i="70"/>
  <c r="I38" i="70"/>
  <c r="H22" i="70"/>
  <c r="C22" i="70" s="1"/>
  <c r="I27" i="70"/>
  <c r="Q27" i="70"/>
  <c r="J27" i="70" s="1"/>
  <c r="B27" i="70"/>
  <c r="A32" i="70"/>
  <c r="I30" i="70"/>
  <c r="H25" i="70"/>
  <c r="C25" i="70" s="1"/>
  <c r="B16" i="70"/>
  <c r="O21" i="70"/>
  <c r="B22" i="70"/>
  <c r="C60" i="56"/>
  <c r="C58" i="56"/>
  <c r="A33" i="70" l="1"/>
  <c r="Q28" i="70"/>
  <c r="J28" i="70" s="1"/>
  <c r="H28" i="70" s="1"/>
  <c r="C28" i="70" s="1"/>
  <c r="B28" i="70"/>
  <c r="I34" i="70"/>
  <c r="H27" i="70"/>
  <c r="C27" i="70" s="1"/>
  <c r="I32" i="70"/>
  <c r="O26" i="70"/>
  <c r="B21" i="70"/>
  <c r="Q35" i="70"/>
  <c r="J35" i="70" s="1"/>
  <c r="B35" i="70"/>
  <c r="A40" i="70"/>
  <c r="I43" i="70"/>
  <c r="Q29" i="70"/>
  <c r="J29" i="70" s="1"/>
  <c r="H29" i="70" s="1"/>
  <c r="C29" i="70" s="1"/>
  <c r="B29" i="70"/>
  <c r="A34" i="70"/>
  <c r="A36" i="70"/>
  <c r="Q31" i="70"/>
  <c r="J31" i="70" s="1"/>
  <c r="H21" i="70"/>
  <c r="C21" i="70" s="1"/>
  <c r="I26" i="70"/>
  <c r="H30" i="70"/>
  <c r="C30" i="70" s="1"/>
  <c r="I35" i="70"/>
  <c r="Q32" i="70"/>
  <c r="J32" i="70" s="1"/>
  <c r="B32" i="70"/>
  <c r="A37" i="70"/>
  <c r="C59" i="56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H26" i="70"/>
  <c r="C26" i="70" s="1"/>
  <c r="I31" i="70"/>
  <c r="O31" i="70"/>
  <c r="B26" i="70"/>
  <c r="H32" i="70"/>
  <c r="C32" i="70" s="1"/>
  <c r="I37" i="70"/>
  <c r="Q37" i="70"/>
  <c r="J37" i="70" s="1"/>
  <c r="B37" i="70"/>
  <c r="A42" i="70"/>
  <c r="I39" i="70"/>
  <c r="Q36" i="70"/>
  <c r="J36" i="70" s="1"/>
  <c r="A41" i="70"/>
  <c r="Q40" i="70"/>
  <c r="J40" i="70" s="1"/>
  <c r="B40" i="70"/>
  <c r="A45" i="70"/>
  <c r="B34" i="70"/>
  <c r="Q34" i="70"/>
  <c r="J34" i="70" s="1"/>
  <c r="H34" i="70" s="1"/>
  <c r="C34" i="70" s="1"/>
  <c r="A39" i="70"/>
  <c r="I48" i="70"/>
  <c r="H35" i="70"/>
  <c r="C35" i="70" s="1"/>
  <c r="I40" i="70"/>
  <c r="B33" i="70"/>
  <c r="A38" i="70"/>
  <c r="Q33" i="70"/>
  <c r="J33" i="70" s="1"/>
  <c r="H33" i="70" s="1"/>
  <c r="C33" i="70" s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Q45" i="70" l="1"/>
  <c r="J45" i="70" s="1"/>
  <c r="B45" i="70"/>
  <c r="A50" i="70"/>
  <c r="A46" i="70"/>
  <c r="Q41" i="70"/>
  <c r="J41" i="70" s="1"/>
  <c r="A47" i="70"/>
  <c r="Q42" i="70"/>
  <c r="J42" i="70" s="1"/>
  <c r="B42" i="70"/>
  <c r="H37" i="70"/>
  <c r="C37" i="70" s="1"/>
  <c r="I42" i="70"/>
  <c r="Q38" i="70"/>
  <c r="J38" i="70" s="1"/>
  <c r="H38" i="70" s="1"/>
  <c r="C38" i="70" s="1"/>
  <c r="B38" i="70"/>
  <c r="A43" i="70"/>
  <c r="I53" i="70"/>
  <c r="A44" i="70"/>
  <c r="Q39" i="70"/>
  <c r="J39" i="70" s="1"/>
  <c r="H39" i="70" s="1"/>
  <c r="C39" i="70" s="1"/>
  <c r="B39" i="70"/>
  <c r="I44" i="70"/>
  <c r="O36" i="70"/>
  <c r="B31" i="70"/>
  <c r="H40" i="70"/>
  <c r="C40" i="70" s="1"/>
  <c r="I45" i="70"/>
  <c r="H31" i="70"/>
  <c r="C31" i="70" s="1"/>
  <c r="I36" i="70"/>
  <c r="B21" i="57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I49" i="70" l="1"/>
  <c r="B44" i="70"/>
  <c r="A49" i="70"/>
  <c r="Q44" i="70"/>
  <c r="J44" i="70" s="1"/>
  <c r="H44" i="70" s="1"/>
  <c r="C44" i="70" s="1"/>
  <c r="Q43" i="70"/>
  <c r="J43" i="70" s="1"/>
  <c r="H43" i="70" s="1"/>
  <c r="C43" i="70" s="1"/>
  <c r="B43" i="70"/>
  <c r="A48" i="70"/>
  <c r="B47" i="70"/>
  <c r="A52" i="70"/>
  <c r="Q47" i="70"/>
  <c r="J47" i="70" s="1"/>
  <c r="I41" i="70"/>
  <c r="H36" i="70"/>
  <c r="C36" i="70" s="1"/>
  <c r="Q46" i="70"/>
  <c r="J46" i="70" s="1"/>
  <c r="A51" i="70"/>
  <c r="O41" i="70"/>
  <c r="B36" i="70"/>
  <c r="I58" i="70"/>
  <c r="H42" i="70"/>
  <c r="C42" i="70" s="1"/>
  <c r="I47" i="70"/>
  <c r="H45" i="70"/>
  <c r="C45" i="70" s="1"/>
  <c r="I50" i="70"/>
  <c r="A55" i="70"/>
  <c r="Q50" i="70"/>
  <c r="J50" i="70" s="1"/>
  <c r="B50" i="70"/>
  <c r="C6" i="64"/>
  <c r="C7" i="64"/>
  <c r="C8" i="64"/>
  <c r="C9" i="64"/>
  <c r="C10" i="64"/>
  <c r="C5" i="64"/>
  <c r="C9" i="56"/>
  <c r="C10" i="56"/>
  <c r="C11" i="56"/>
  <c r="C12" i="56"/>
  <c r="C7" i="56"/>
  <c r="C6" i="56"/>
  <c r="C8" i="56"/>
  <c r="C15" i="56"/>
  <c r="C19" i="56"/>
  <c r="C26" i="56"/>
  <c r="J5" i="56"/>
  <c r="D4" i="59"/>
  <c r="D3" i="59"/>
  <c r="Q51" i="70" l="1"/>
  <c r="J51" i="70" s="1"/>
  <c r="A56" i="70"/>
  <c r="Q48" i="70"/>
  <c r="J48" i="70" s="1"/>
  <c r="H48" i="70" s="1"/>
  <c r="C48" i="70" s="1"/>
  <c r="B48" i="70"/>
  <c r="A53" i="70"/>
  <c r="I52" i="70"/>
  <c r="H47" i="70"/>
  <c r="C47" i="70" s="1"/>
  <c r="H41" i="70"/>
  <c r="C41" i="70" s="1"/>
  <c r="I46" i="70"/>
  <c r="B52" i="70"/>
  <c r="A57" i="70"/>
  <c r="Q52" i="70"/>
  <c r="J52" i="70" s="1"/>
  <c r="H50" i="70"/>
  <c r="C50" i="70" s="1"/>
  <c r="I55" i="70"/>
  <c r="I54" i="70"/>
  <c r="O46" i="70"/>
  <c r="B41" i="70"/>
  <c r="Q49" i="70"/>
  <c r="J49" i="70" s="1"/>
  <c r="H49" i="70" s="1"/>
  <c r="C49" i="70" s="1"/>
  <c r="B49" i="70"/>
  <c r="A54" i="70"/>
  <c r="B55" i="70"/>
  <c r="A60" i="70"/>
  <c r="Q55" i="70"/>
  <c r="J55" i="70" s="1"/>
  <c r="C18" i="56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H55" i="70" l="1"/>
  <c r="C55" i="70" s="1"/>
  <c r="I60" i="70"/>
  <c r="I59" i="70"/>
  <c r="H46" i="70"/>
  <c r="C46" i="70" s="1"/>
  <c r="I51" i="70"/>
  <c r="O51" i="70"/>
  <c r="B46" i="70"/>
  <c r="Q57" i="70"/>
  <c r="J57" i="70" s="1"/>
  <c r="B57" i="70"/>
  <c r="H52" i="70"/>
  <c r="C52" i="70" s="1"/>
  <c r="I57" i="70"/>
  <c r="H57" i="70" s="1"/>
  <c r="C57" i="70" s="1"/>
  <c r="A58" i="70"/>
  <c r="Q53" i="70"/>
  <c r="J53" i="70" s="1"/>
  <c r="H53" i="70" s="1"/>
  <c r="C53" i="70" s="1"/>
  <c r="B53" i="70"/>
  <c r="Q56" i="70"/>
  <c r="J56" i="70" s="1"/>
  <c r="Q60" i="70"/>
  <c r="J60" i="70" s="1"/>
  <c r="B60" i="70"/>
  <c r="Q54" i="70"/>
  <c r="J54" i="70" s="1"/>
  <c r="H54" i="70" s="1"/>
  <c r="C54" i="70" s="1"/>
  <c r="B54" i="70"/>
  <c r="A59" i="70"/>
  <c r="C38" i="56"/>
  <c r="C31" i="56"/>
  <c r="C34" i="56"/>
  <c r="C27" i="56"/>
  <c r="C30" i="56"/>
  <c r="C37" i="56"/>
  <c r="C40" i="56"/>
  <c r="C33" i="56"/>
  <c r="C35" i="56"/>
  <c r="C28" i="56"/>
  <c r="C39" i="56"/>
  <c r="C32" i="56"/>
  <c r="H51" i="70" l="1"/>
  <c r="C51" i="70" s="1"/>
  <c r="I56" i="70"/>
  <c r="H56" i="70" s="1"/>
  <c r="C56" i="70" s="1"/>
  <c r="Q59" i="70"/>
  <c r="J59" i="70" s="1"/>
  <c r="B59" i="70"/>
  <c r="B58" i="70"/>
  <c r="Q58" i="70"/>
  <c r="J58" i="70" s="1"/>
  <c r="H58" i="70" s="1"/>
  <c r="C58" i="70" s="1"/>
  <c r="H59" i="70"/>
  <c r="C59" i="70" s="1"/>
  <c r="H60" i="70"/>
  <c r="C60" i="70" s="1"/>
  <c r="O56" i="70"/>
  <c r="B56" i="70" s="1"/>
  <c r="B51" i="7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<sst xmlns="http://schemas.openxmlformats.org/spreadsheetml/2006/main" count="1951" uniqueCount="831">
  <si>
    <t>Unit</t>
  </si>
  <si>
    <t>Desc</t>
  </si>
  <si>
    <t>Name</t>
  </si>
  <si>
    <t>Solar</t>
  </si>
  <si>
    <t>Varbl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</si>
  <si>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</si>
  <si>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</si>
  <si>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</si>
  <si>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</si>
  <si>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</si>
  <si>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</si>
  <si>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</si>
  <si>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</si>
  <si>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</si>
  <si>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</si>
  <si>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</si>
  <si>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</si>
  <si>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</si>
  <si>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</si>
  <si>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</si>
  <si>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</si>
  <si>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</si>
  <si>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</si>
  <si>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</si>
  <si>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</si>
  <si>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</si>
  <si>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</si>
  <si>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</si>
  <si>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</si>
  <si>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</si>
  <si>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Cost_INV</t>
  </si>
  <si>
    <t>~UnitConv</t>
  </si>
  <si>
    <t>Model</t>
  </si>
  <si>
    <t>Unit1</t>
  </si>
  <si>
    <t>Unit2</t>
  </si>
  <si>
    <t>MultFact</t>
  </si>
  <si>
    <t>VAR_NCAP</t>
  </si>
  <si>
    <t>C</t>
  </si>
  <si>
    <t>~ATS</t>
  </si>
  <si>
    <t>Region</t>
  </si>
  <si>
    <t>Year</t>
  </si>
  <si>
    <t>Val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</si>
  <si>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</si>
  <si>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</si>
  <si>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</si>
  <si>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</si>
  <si>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</si>
  <si>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</si>
  <si>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</si>
  <si>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</si>
  <si>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</si>
  <si>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</si>
  <si>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</si>
  <si>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</si>
  <si>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</si>
  <si>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</si>
  <si>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</si>
  <si>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</si>
  <si>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</si>
  <si>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</si>
  <si>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</si>
  <si>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</si>
  <si>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</si>
  <si>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</si>
  <si>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</si>
  <si>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</si>
  <si>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</si>
  <si>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</si>
  <si>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</si>
  <si>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</si>
  <si>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</si>
  <si>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</si>
  <si>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</si>
  <si>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</si>
  <si>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</si>
  <si>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</si>
  <si>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</si>
  <si>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</si>
  <si>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</si>
  <si>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</si>
  <si>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Twh</t>
  </si>
  <si>
    <t>Elec Production</t>
  </si>
  <si>
    <t>Cost_Investment</t>
  </si>
  <si>
    <t>$/Mwh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</si>
  <si>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</si>
  <si>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</si>
  <si>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</si>
  <si>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</si>
  <si>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</si>
  <si>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</si>
  <si>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</si>
  <si>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</si>
  <si>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</si>
  <si>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</si>
  <si>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</si>
  <si>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</si>
  <si>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</si>
  <si>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</si>
  <si>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</si>
  <si>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</si>
  <si>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</si>
  <si>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</si>
  <si>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</si>
  <si>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</si>
  <si>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</si>
  <si>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</si>
  <si>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</si>
  <si>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</si>
  <si>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</si>
  <si>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</si>
  <si>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</si>
  <si>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</si>
  <si>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</si>
  <si>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</si>
  <si>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</si>
  <si>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</si>
  <si>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</si>
  <si>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</si>
  <si>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</si>
  <si>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</si>
  <si>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</si>
  <si>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</si>
  <si>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</si>
  <si>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</si>
  <si>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</si>
  <si>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</si>
  <si>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</si>
  <si>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</si>
  <si>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</si>
  <si>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</si>
  <si>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</si>
  <si>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mt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</si>
  <si>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</si>
  <si>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</si>
  <si>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</si>
  <si>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</si>
  <si>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</si>
  <si>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</si>
  <si>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</si>
  <si>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</si>
  <si>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</si>
  <si>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</si>
  <si>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</si>
  <si>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</si>
  <si>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s?a*</t>
  </si>
  <si>
    <t>*,-s?a*</t>
  </si>
  <si>
    <t>hourly</t>
  </si>
  <si>
    <t>aggregated</t>
  </si>
  <si>
    <t>ts_type</t>
  </si>
  <si>
    <t>ts_season</t>
  </si>
  <si>
    <t>S1*</t>
  </si>
  <si>
    <t>S2*</t>
  </si>
  <si>
    <t>S3*</t>
  </si>
  <si>
    <t>S4*</t>
  </si>
  <si>
    <t>S5*</t>
  </si>
  <si>
    <t>S6*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</si>
  <si>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</si>
  <si>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</si>
  <si>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</si>
  <si>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</si>
  <si>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</si>
  <si>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</si>
  <si>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</si>
  <si>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</si>
  <si>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</si>
  <si>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</si>
  <si>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</si>
  <si>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</si>
  <si>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</si>
  <si>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</si>
  <si>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</si>
  <si>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</si>
  <si>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</si>
  <si>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</si>
  <si>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</si>
  <si>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</si>
  <si>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</si>
  <si>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</si>
  <si>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</si>
  <si>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</si>
  <si>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</si>
  <si>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</si>
  <si>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</si>
  <si>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</si>
  <si>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</si>
  <si>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</si>
  <si>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</si>
  <si>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</si>
  <si>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</si>
  <si>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</si>
  <si>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</si>
  <si>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</si>
  <si>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</si>
  <si>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</si>
  <si>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</si>
  <si>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</si>
  <si>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</si>
  <si>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</si>
  <si>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</si>
  <si>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</si>
  <si>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</si>
  <si>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</si>
  <si>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</si>
  <si>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</si>
  <si>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</si>
  <si>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</si>
  <si>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</si>
  <si>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</si>
  <si>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</si>
  <si>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</si>
  <si>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</si>
  <si>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</si>
  <si>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</si>
  <si>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</si>
  <si>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</si>
  <si>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</si>
  <si>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</si>
  <si>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</si>
  <si>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</si>
  <si>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</si>
  <si>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</si>
  <si>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</si>
  <si>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</si>
  <si>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</si>
  <si>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</si>
  <si>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</si>
  <si>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</si>
  <si>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</si>
  <si>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</si>
  <si>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</si>
  <si>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</si>
  <si>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</si>
  <si>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</si>
  <si>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</si>
  <si>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ts12_clu</t>
  </si>
  <si>
    <t>ts24_clu</t>
  </si>
  <si>
    <t>ts48_clu</t>
  </si>
  <si>
    <t>s5p5v5_d</t>
  </si>
  <si>
    <t>ts_annual</t>
  </si>
  <si>
    <t>ts_12</t>
  </si>
  <si>
    <t>a2w2d</t>
  </si>
  <si>
    <t>d9d</t>
  </si>
  <si>
    <t>b2w</t>
  </si>
  <si>
    <t>c15d</t>
  </si>
  <si>
    <t>e3d</t>
  </si>
  <si>
    <t>fTS48c</t>
  </si>
  <si>
    <t>gTS24c</t>
  </si>
  <si>
    <t>hTS12c</t>
  </si>
  <si>
    <t>iTS12</t>
  </si>
  <si>
    <t>jAnn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</si>
  <si>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</si>
  <si>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</si>
  <si>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</si>
  <si>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</si>
  <si>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</si>
  <si>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</si>
  <si>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</si>
  <si>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</si>
  <si>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</si>
  <si>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</si>
  <si>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</si>
  <si>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</si>
  <si>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s1_d</t>
  </si>
  <si>
    <t>f3d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</si>
  <si>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</si>
  <si>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</si>
  <si>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</si>
  <si>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</si>
  <si>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</si>
  <si>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</si>
  <si>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</si>
  <si>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</si>
  <si>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</si>
  <si>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</si>
  <si>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</si>
  <si>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</si>
  <si>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</si>
  <si>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</si>
  <si>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</si>
  <si>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</si>
  <si>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</si>
  <si>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</si>
  <si>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</si>
  <si>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</si>
  <si>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</si>
  <si>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</si>
  <si>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</si>
  <si>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</si>
  <si>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</si>
  <si>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</si>
  <si>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</si>
  <si>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</si>
  <si>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</si>
  <si>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</si>
  <si>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</si>
  <si>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</si>
  <si>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</si>
  <si>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</si>
  <si>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</si>
  <si>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</si>
  <si>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</si>
  <si>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</si>
  <si>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</si>
  <si>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</si>
  <si>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</si>
  <si>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</si>
  <si>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</si>
  <si>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</si>
  <si>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</si>
  <si>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</si>
  <si>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</si>
  <si>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</si>
  <si>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</si>
  <si>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</si>
  <si>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</si>
  <si>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</si>
  <si>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</si>
  <si>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</si>
  <si>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</si>
  <si>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</si>
  <si>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</si>
  <si>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</si>
  <si>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</si>
  <si>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</si>
  <si>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</si>
  <si>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</si>
  <si>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</si>
  <si>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</si>
  <si>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</si>
  <si>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</si>
  <si>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</si>
  <si>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</si>
  <si>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</si>
  <si>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</si>
  <si>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</si>
  <si>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</si>
  <si>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</si>
  <si>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</si>
  <si>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</si>
  <si>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</si>
  <si>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</si>
  <si>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</si>
  <si>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</si>
  <si>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</si>
  <si>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</si>
  <si>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</si>
  <si>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</si>
  <si>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</si>
  <si>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</si>
  <si>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</si>
  <si>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</si>
  <si>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</si>
  <si>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</si>
  <si>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</si>
  <si>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</si>
  <si>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</si>
  <si>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</si>
  <si>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</si>
  <si>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</si>
  <si>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</si>
  <si>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</si>
  <si>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</si>
  <si>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</si>
  <si>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</si>
  <si>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</si>
  <si>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</si>
  <si>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</si>
  <si>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</si>
  <si>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</si>
  <si>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</si>
  <si>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</si>
  <si>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</si>
  <si>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</si>
  <si>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</si>
  <si>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</si>
  <si>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</si>
  <si>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</si>
  <si>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</si>
  <si>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</si>
  <si>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</si>
  <si>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</si>
  <si>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</si>
  <si>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</si>
  <si>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</si>
  <si>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</si>
  <si>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</si>
  <si>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</si>
  <si>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</si>
  <si>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</si>
  <si>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</si>
  <si>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</si>
  <si>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</si>
  <si>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</si>
  <si>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</si>
  <si>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</si>
  <si>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</si>
  <si>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</si>
  <si>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</si>
  <si>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</si>
  <si>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</si>
  <si>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</si>
  <si>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</si>
  <si>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</si>
  <si>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</si>
  <si>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</si>
  <si>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</si>
  <si>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</si>
  <si>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</si>
  <si>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</si>
  <si>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</si>
  <si>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</si>
  <si>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</si>
  <si>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</si>
  <si>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</si>
  <si>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</si>
  <si>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</si>
  <si>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</si>
  <si>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</si>
  <si>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</si>
  <si>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</si>
  <si>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</si>
  <si>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</si>
  <si>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</si>
  <si>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grid_node</t>
  </si>
  <si>
    <t>p_dem4</t>
  </si>
  <si>
    <t>p_dem3</t>
  </si>
  <si>
    <t>p_dem0</t>
  </si>
  <si>
    <t>p_dem1</t>
  </si>
  <si>
    <t>p_dem2</t>
  </si>
  <si>
    <t>p_gen0</t>
  </si>
  <si>
    <t>p_gen1</t>
  </si>
  <si>
    <t>p_gen2</t>
  </si>
  <si>
    <t>p_gen3</t>
  </si>
  <si>
    <t>p_gen4</t>
  </si>
  <si>
    <t>p_sol1</t>
  </si>
  <si>
    <t>p_sol2</t>
  </si>
  <si>
    <t>p_sol3</t>
  </si>
  <si>
    <t>p_sol4</t>
  </si>
  <si>
    <t>p_sol5</t>
  </si>
  <si>
    <t>p_sol6</t>
  </si>
  <si>
    <t>p_sol7</t>
  </si>
  <si>
    <t>p_sol8</t>
  </si>
  <si>
    <t>p_sol9</t>
  </si>
  <si>
    <t>p_sol10</t>
  </si>
  <si>
    <t>p_sol11</t>
  </si>
  <si>
    <t>p_sol12</t>
  </si>
  <si>
    <t>p_sol13</t>
  </si>
  <si>
    <t>p_sol14</t>
  </si>
  <si>
    <t>p_sol15</t>
  </si>
  <si>
    <t>p_sol16</t>
  </si>
  <si>
    <t>p_sol17</t>
  </si>
  <si>
    <t>p_sol18</t>
  </si>
  <si>
    <t>p_sol19</t>
  </si>
  <si>
    <t>p_sol20</t>
  </si>
  <si>
    <t>p_sol21</t>
  </si>
  <si>
    <t>p_sol22</t>
  </si>
  <si>
    <t>p_sol23</t>
  </si>
  <si>
    <t>p_sol24</t>
  </si>
  <si>
    <t>p_won25</t>
  </si>
  <si>
    <t>p_won26</t>
  </si>
  <si>
    <t>p_won27</t>
  </si>
  <si>
    <t>p_won28</t>
  </si>
  <si>
    <t>p_won29</t>
  </si>
  <si>
    <t>p_won30</t>
  </si>
  <si>
    <t>p_won31</t>
  </si>
  <si>
    <t>p_won32</t>
  </si>
  <si>
    <t>p_won33</t>
  </si>
  <si>
    <t>p_won34</t>
  </si>
  <si>
    <t>p_won35</t>
  </si>
  <si>
    <t>p_won36</t>
  </si>
  <si>
    <t>p_won37</t>
  </si>
  <si>
    <t>p_won38</t>
  </si>
  <si>
    <t>p_won39</t>
  </si>
  <si>
    <t>p_won40</t>
  </si>
  <si>
    <t>p_won41</t>
  </si>
  <si>
    <t>p_won42</t>
  </si>
  <si>
    <t>p_won43</t>
  </si>
  <si>
    <t>p_wof44</t>
  </si>
  <si>
    <t>p_wof45</t>
  </si>
  <si>
    <t>p_wof46</t>
  </si>
  <si>
    <t>p_wof47</t>
  </si>
  <si>
    <t>p_wof48</t>
  </si>
  <si>
    <t>p_wof49</t>
  </si>
  <si>
    <t>p_wof50</t>
  </si>
  <si>
    <t>p_wof51</t>
  </si>
  <si>
    <t>p_wof52</t>
  </si>
  <si>
    <t>p_wof53</t>
  </si>
  <si>
    <t>p_wof54</t>
  </si>
  <si>
    <t>p_wof55</t>
  </si>
  <si>
    <t>p_wof56</t>
  </si>
  <si>
    <t>p_wof57</t>
  </si>
  <si>
    <t>p_wof58</t>
  </si>
  <si>
    <t>p_wof59</t>
  </si>
  <si>
    <t>p_wof60</t>
  </si>
  <si>
    <t>p_wof61</t>
  </si>
  <si>
    <t>p_wof62</t>
  </si>
  <si>
    <t>rez_spv_001</t>
  </si>
  <si>
    <t>rez_spv_002</t>
  </si>
  <si>
    <t>rez_spv_003</t>
  </si>
  <si>
    <t>rez_spv_004</t>
  </si>
  <si>
    <t>rez_spv_005</t>
  </si>
  <si>
    <t>rez_spv_006</t>
  </si>
  <si>
    <t>rez_spv_007</t>
  </si>
  <si>
    <t>rez_spv_008</t>
  </si>
  <si>
    <t>rez_spv_009</t>
  </si>
  <si>
    <t>rez_spv_010</t>
  </si>
  <si>
    <t>rez_spv_011</t>
  </si>
  <si>
    <t>rez_spv_012</t>
  </si>
  <si>
    <t>rez_spv_013</t>
  </si>
  <si>
    <t>rez_spv_014</t>
  </si>
  <si>
    <t>rez_spv_015</t>
  </si>
  <si>
    <t>rez_spv_016</t>
  </si>
  <si>
    <t>rez_spv_017</t>
  </si>
  <si>
    <t>rez_spv_018</t>
  </si>
  <si>
    <t>rez_spv_019</t>
  </si>
  <si>
    <t>rez_spv_020</t>
  </si>
  <si>
    <t>rez_spv_021</t>
  </si>
  <si>
    <t>rez_spv_022</t>
  </si>
  <si>
    <t>rez_spv_023</t>
  </si>
  <si>
    <t>rez_spv_024</t>
  </si>
  <si>
    <t>rez_won_001</t>
  </si>
  <si>
    <t>rez_won_002</t>
  </si>
  <si>
    <t>rez_won_003</t>
  </si>
  <si>
    <t>rez_won_004</t>
  </si>
  <si>
    <t>rez_won_005</t>
  </si>
  <si>
    <t>rez_won_006</t>
  </si>
  <si>
    <t>rez_won_007</t>
  </si>
  <si>
    <t>rez_won_008</t>
  </si>
  <si>
    <t>rez_won_009</t>
  </si>
  <si>
    <t>rez_won_010</t>
  </si>
  <si>
    <t>rez_won_011</t>
  </si>
  <si>
    <t>rez_won_012</t>
  </si>
  <si>
    <t>rez_won_013</t>
  </si>
  <si>
    <t>rez_won_014</t>
  </si>
  <si>
    <t>rez_won_015</t>
  </si>
  <si>
    <t>rez_won_016</t>
  </si>
  <si>
    <t>rez_won_017</t>
  </si>
  <si>
    <t>rez_won_018</t>
  </si>
  <si>
    <t>rez_won_019</t>
  </si>
  <si>
    <t>rez_wof_001</t>
  </si>
  <si>
    <t>rez_wof_002</t>
  </si>
  <si>
    <t>rez_wof_003</t>
  </si>
  <si>
    <t>rez_wof_004</t>
  </si>
  <si>
    <t>rez_wof_005</t>
  </si>
  <si>
    <t>rez_wof_006</t>
  </si>
  <si>
    <t>rez_wof_007</t>
  </si>
  <si>
    <t>rez_wof_008</t>
  </si>
  <si>
    <t>rez_wof_009</t>
  </si>
  <si>
    <t>rez_wof_010</t>
  </si>
  <si>
    <t>rez_wof_011</t>
  </si>
  <si>
    <t>rez_wof_012</t>
  </si>
  <si>
    <t>rez_wof_013</t>
  </si>
  <si>
    <t>rez_wof_014</t>
  </si>
  <si>
    <t>rez_wof_015</t>
  </si>
  <si>
    <t>rez_wof_016</t>
  </si>
  <si>
    <t>rez_wof_017</t>
  </si>
  <si>
    <t>rez_wof_018</t>
  </si>
  <si>
    <t>rez_wof_019</t>
  </si>
  <si>
    <t>region_com</t>
  </si>
  <si>
    <t>e_dem4</t>
  </si>
  <si>
    <t>e_dem3</t>
  </si>
  <si>
    <t>e_dem0</t>
  </si>
  <si>
    <t>e_dem1</t>
  </si>
  <si>
    <t>e_dem2</t>
  </si>
  <si>
    <t>e_gen0</t>
  </si>
  <si>
    <t>e_gen1</t>
  </si>
  <si>
    <t>e_gen2</t>
  </si>
  <si>
    <t>e_gen3</t>
  </si>
  <si>
    <t>e_gen4</t>
  </si>
  <si>
    <t>e_sol1</t>
  </si>
  <si>
    <t>e_sol2</t>
  </si>
  <si>
    <t>e_sol3</t>
  </si>
  <si>
    <t>e_sol4</t>
  </si>
  <si>
    <t>e_sol5</t>
  </si>
  <si>
    <t>e_sol6</t>
  </si>
  <si>
    <t>e_sol7</t>
  </si>
  <si>
    <t>e_sol8</t>
  </si>
  <si>
    <t>e_sol9</t>
  </si>
  <si>
    <t>e_sol10</t>
  </si>
  <si>
    <t>e_sol11</t>
  </si>
  <si>
    <t>e_sol12</t>
  </si>
  <si>
    <t>e_sol13</t>
  </si>
  <si>
    <t>e_sol14</t>
  </si>
  <si>
    <t>e_sol15</t>
  </si>
  <si>
    <t>e_sol16</t>
  </si>
  <si>
    <t>e_sol17</t>
  </si>
  <si>
    <t>e_sol18</t>
  </si>
  <si>
    <t>e_sol19</t>
  </si>
  <si>
    <t>e_sol20</t>
  </si>
  <si>
    <t>e_sol21</t>
  </si>
  <si>
    <t>e_sol22</t>
  </si>
  <si>
    <t>e_sol23</t>
  </si>
  <si>
    <t>e_sol24</t>
  </si>
  <si>
    <t>e_won25</t>
  </si>
  <si>
    <t>e_won26</t>
  </si>
  <si>
    <t>e_won27</t>
  </si>
  <si>
    <t>e_won28</t>
  </si>
  <si>
    <t>e_won29</t>
  </si>
  <si>
    <t>e_won30</t>
  </si>
  <si>
    <t>e_won31</t>
  </si>
  <si>
    <t>e_won32</t>
  </si>
  <si>
    <t>e_won33</t>
  </si>
  <si>
    <t>e_won34</t>
  </si>
  <si>
    <t>e_won35</t>
  </si>
  <si>
    <t>e_won36</t>
  </si>
  <si>
    <t>e_won37</t>
  </si>
  <si>
    <t>e_won38</t>
  </si>
  <si>
    <t>e_won39</t>
  </si>
  <si>
    <t>e_won40</t>
  </si>
  <si>
    <t>e_won41</t>
  </si>
  <si>
    <t>e_won42</t>
  </si>
  <si>
    <t>e_won43</t>
  </si>
  <si>
    <t>e_wof44</t>
  </si>
  <si>
    <t>e_wof45</t>
  </si>
  <si>
    <t>e_wof46</t>
  </si>
  <si>
    <t>e_wof47</t>
  </si>
  <si>
    <t>e_wof48</t>
  </si>
  <si>
    <t>e_wof49</t>
  </si>
  <si>
    <t>e_wof50</t>
  </si>
  <si>
    <t>e_wof51</t>
  </si>
  <si>
    <t>e_wof52</t>
  </si>
  <si>
    <t>e_wof53</t>
  </si>
  <si>
    <t>e_wof54</t>
  </si>
  <si>
    <t>e_wof55</t>
  </si>
  <si>
    <t>e_wof56</t>
  </si>
  <si>
    <t>e_wof57</t>
  </si>
  <si>
    <t>e_wof58</t>
  </si>
  <si>
    <t>e_wof59</t>
  </si>
  <si>
    <t>e_wof60</t>
  </si>
  <si>
    <t>e_wof61</t>
  </si>
  <si>
    <t>e_wof62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</si>
  <si>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</si>
  <si>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</si>
  <si>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</si>
  <si>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</si>
  <si>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</si>
  <si>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</si>
  <si>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</si>
  <si>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</si>
  <si>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</si>
  <si>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</si>
  <si>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</si>
  <si>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</si>
  <si>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</si>
  <si>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</si>
  <si>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</si>
  <si>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</si>
  <si>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</si>
  <si>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</si>
  <si>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</si>
  <si>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</si>
  <si>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</si>
  <si>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</si>
  <si>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</si>
  <si>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</si>
  <si>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</si>
  <si>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</si>
  <si>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</si>
  <si>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</si>
  <si>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</si>
  <si>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</si>
  <si>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</si>
  <si>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</si>
  <si>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</si>
  <si>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</si>
  <si>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</si>
  <si>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</si>
  <si>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</si>
  <si>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</si>
  <si>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</si>
  <si>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</si>
  <si>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</si>
  <si>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</si>
  <si>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</si>
  <si>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</si>
  <si>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</si>
  <si>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</si>
  <si>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</si>
  <si>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</si>
  <si>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</si>
  <si>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</si>
  <si>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</si>
  <si>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</si>
  <si>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</si>
  <si>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elc_wof_011</t>
  </si>
  <si>
    <t>elc_wof_012</t>
  </si>
  <si>
    <t>elc_wof_013</t>
  </si>
  <si>
    <t>elc_wof_014</t>
  </si>
  <si>
    <t>elc_wof_015</t>
  </si>
  <si>
    <t>elc_wof_016</t>
  </si>
  <si>
    <t>elc_wof_017</t>
  </si>
  <si>
    <t>elc_wof_018</t>
  </si>
  <si>
    <t>elc_wof_019</t>
  </si>
  <si>
    <t>~geolocation</t>
  </si>
  <si>
    <t>region</t>
  </si>
  <si>
    <t>lat</t>
  </si>
  <si>
    <t>lng</t>
  </si>
  <si>
    <t>ITA-e_dem4</t>
  </si>
  <si>
    <t>ITA-e_dem3</t>
  </si>
  <si>
    <t>ITA-e_dem0</t>
  </si>
  <si>
    <t>ITA-e_dem1</t>
  </si>
  <si>
    <t>ITA-e_dem2</t>
  </si>
  <si>
    <t>ITA-e_gen0</t>
  </si>
  <si>
    <t>ITA-e_gen1</t>
  </si>
  <si>
    <t>ITA-e_gen2</t>
  </si>
  <si>
    <t>ITA-e_gen3</t>
  </si>
  <si>
    <t>ITA-e_gen4</t>
  </si>
  <si>
    <t>ITA-e_sol1</t>
  </si>
  <si>
    <t>ITA-e_sol2</t>
  </si>
  <si>
    <t>ITA-e_sol3</t>
  </si>
  <si>
    <t>ITA-e_sol4</t>
  </si>
  <si>
    <t>ITA-e_sol5</t>
  </si>
  <si>
    <t>ITA-e_sol6</t>
  </si>
  <si>
    <t>ITA-e_sol7</t>
  </si>
  <si>
    <t>ITA-e_sol8</t>
  </si>
  <si>
    <t>ITA-e_sol9</t>
  </si>
  <si>
    <t>ITA-e_sol10</t>
  </si>
  <si>
    <t>ITA-e_sol11</t>
  </si>
  <si>
    <t>ITA-e_sol12</t>
  </si>
  <si>
    <t>ITA-e_sol13</t>
  </si>
  <si>
    <t>ITA-e_sol14</t>
  </si>
  <si>
    <t>ITA-e_sol15</t>
  </si>
  <si>
    <t>ITA-e_sol16</t>
  </si>
  <si>
    <t>ITA-e_sol17</t>
  </si>
  <si>
    <t>ITA-e_sol18</t>
  </si>
  <si>
    <t>ITA-e_sol19</t>
  </si>
  <si>
    <t>ITA-e_sol20</t>
  </si>
  <si>
    <t>ITA-e_sol21</t>
  </si>
  <si>
    <t>ITA-e_sol22</t>
  </si>
  <si>
    <t>ITA-e_sol23</t>
  </si>
  <si>
    <t>ITA-e_sol24</t>
  </si>
  <si>
    <t>ITA-e_won25</t>
  </si>
  <si>
    <t>ITA-e_won26</t>
  </si>
  <si>
    <t>ITA-e_won27</t>
  </si>
  <si>
    <t>ITA-e_won28</t>
  </si>
  <si>
    <t>ITA-e_won29</t>
  </si>
  <si>
    <t>ITA-e_won30</t>
  </si>
  <si>
    <t>ITA-e_won31</t>
  </si>
  <si>
    <t>ITA-e_won32</t>
  </si>
  <si>
    <t>ITA-e_won33</t>
  </si>
  <si>
    <t>ITA-e_won34</t>
  </si>
  <si>
    <t>ITA-e_won35</t>
  </si>
  <si>
    <t>ITA-e_won36</t>
  </si>
  <si>
    <t>ITA-e_won37</t>
  </si>
  <si>
    <t>ITA-e_won38</t>
  </si>
  <si>
    <t>ITA-e_won39</t>
  </si>
  <si>
    <t>ITA-e_won40</t>
  </si>
  <si>
    <t>ITA-e_won41</t>
  </si>
  <si>
    <t>ITA-e_won42</t>
  </si>
  <si>
    <t>ITA-e_won43</t>
  </si>
  <si>
    <t>ITA-e_wof44</t>
  </si>
  <si>
    <t>ITA-e_wof45</t>
  </si>
  <si>
    <t>ITA-e_wof46</t>
  </si>
  <si>
    <t>ITA-e_wof47</t>
  </si>
  <si>
    <t>ITA-e_wof48</t>
  </si>
  <si>
    <t>ITA-e_wof49</t>
  </si>
  <si>
    <t>ITA-e_wof50</t>
  </si>
  <si>
    <t>ITA-e_wof51</t>
  </si>
  <si>
    <t>ITA-e_wof52</t>
  </si>
  <si>
    <t>ITA-e_wof53</t>
  </si>
  <si>
    <t>ITA-e_wof54</t>
  </si>
  <si>
    <t>ITA-e_wof55</t>
  </si>
  <si>
    <t>ITA-e_wof56</t>
  </si>
  <si>
    <t>ITA-e_wof57</t>
  </si>
  <si>
    <t>ITA-e_wof58</t>
  </si>
  <si>
    <t>ITA-e_wof59</t>
  </si>
  <si>
    <t>ITA-e_wof60</t>
  </si>
  <si>
    <t>ITA-e_wof61</t>
  </si>
  <si>
    <t>ITA-e_wof62</t>
  </si>
  <si>
    <t>ITA-elc_spv_001</t>
  </si>
  <si>
    <t>ITA-elc_spv_002</t>
  </si>
  <si>
    <t>ITA-elc_spv_003</t>
  </si>
  <si>
    <t>ITA-elc_spv_004</t>
  </si>
  <si>
    <t>ITA-elc_spv_005</t>
  </si>
  <si>
    <t>ITA-elc_spv_006</t>
  </si>
  <si>
    <t>ITA-elc_spv_007</t>
  </si>
  <si>
    <t>ITA-elc_spv_008</t>
  </si>
  <si>
    <t>ITA-elc_spv_009</t>
  </si>
  <si>
    <t>ITA-elc_spv_010</t>
  </si>
  <si>
    <t>ITA-elc_spv_011</t>
  </si>
  <si>
    <t>ITA-elc_spv_012</t>
  </si>
  <si>
    <t>ITA-elc_spv_013</t>
  </si>
  <si>
    <t>ITA-elc_spv_014</t>
  </si>
  <si>
    <t>ITA-elc_spv_015</t>
  </si>
  <si>
    <t>ITA-elc_spv_016</t>
  </si>
  <si>
    <t>ITA-elc_spv_017</t>
  </si>
  <si>
    <t>ITA-elc_spv_018</t>
  </si>
  <si>
    <t>ITA-elc_spv_019</t>
  </si>
  <si>
    <t>ITA-elc_spv_020</t>
  </si>
  <si>
    <t>ITA-elc_spv_021</t>
  </si>
  <si>
    <t>ITA-elc_spv_022</t>
  </si>
  <si>
    <t>ITA-elc_spv_023</t>
  </si>
  <si>
    <t>ITA-elc_spv_024</t>
  </si>
  <si>
    <t>ITA-elc_won_001</t>
  </si>
  <si>
    <t>ITA-elc_won_002</t>
  </si>
  <si>
    <t>ITA-elc_won_003</t>
  </si>
  <si>
    <t>ITA-elc_won_004</t>
  </si>
  <si>
    <t>ITA-elc_won_005</t>
  </si>
  <si>
    <t>ITA-elc_won_006</t>
  </si>
  <si>
    <t>ITA-elc_won_007</t>
  </si>
  <si>
    <t>ITA-elc_won_008</t>
  </si>
  <si>
    <t>ITA-elc_won_009</t>
  </si>
  <si>
    <t>ITA-elc_won_010</t>
  </si>
  <si>
    <t>ITA-elc_won_011</t>
  </si>
  <si>
    <t>ITA-elc_won_012</t>
  </si>
  <si>
    <t>ITA-elc_won_013</t>
  </si>
  <si>
    <t>ITA-elc_won_014</t>
  </si>
  <si>
    <t>ITA-elc_won_015</t>
  </si>
  <si>
    <t>ITA-elc_won_016</t>
  </si>
  <si>
    <t>ITA-elc_won_017</t>
  </si>
  <si>
    <t>ITA-elc_won_018</t>
  </si>
  <si>
    <t>ITA-elc_won_019</t>
  </si>
  <si>
    <t>ITA-elc_wof_001</t>
  </si>
  <si>
    <t>ITA-elc_wof_002</t>
  </si>
  <si>
    <t>ITA-elc_wof_003</t>
  </si>
  <si>
    <t>ITA-elc_wof_004</t>
  </si>
  <si>
    <t>ITA-elc_wof_005</t>
  </si>
  <si>
    <t>ITA-elc_wof_006</t>
  </si>
  <si>
    <t>ITA-elc_wof_007</t>
  </si>
  <si>
    <t>ITA-elc_wof_008</t>
  </si>
  <si>
    <t>ITA-elc_wof_009</t>
  </si>
  <si>
    <t>ITA-elc_wof_010</t>
  </si>
  <si>
    <t>ITA-elc_wof_011</t>
  </si>
  <si>
    <t>ITA-elc_wof_012</t>
  </si>
  <si>
    <t>ITA-elc_wof_013</t>
  </si>
  <si>
    <t>ITA-elc_wof_014</t>
  </si>
  <si>
    <t>ITA-elc_wof_015</t>
  </si>
  <si>
    <t>ITA-elc_wof_016</t>
  </si>
  <si>
    <t>ITA-elc_wof_017</t>
  </si>
  <si>
    <t>ITA-elc_wof_018</t>
  </si>
  <si>
    <t>ITA-elc_wof_019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</si>
</sst>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1595-4651-4682-AE2C-4C2356B80CEF}">
  <dimension ref="A1:U60"/>
  <sheetViews>
    <sheetView zoomScaleNormal="100" workbookViewId="0">
      <selection activeCell="B5" sqref="B5"/>
    </sheetView>
  </sheetViews>
  <sheetFormatPr defaultColWidth="14.7109375" defaultRowHeight="15"/>
  <cols>
    <col min="2" max="2" width="19.85546875" bestFit="1" customWidth="1"/>
    <col min="3" max="3" width="19.5703125" bestFit="1" customWidth="1"/>
    <col min="4" max="4" width="10.5703125" bestFit="1" customWidth="1"/>
    <col min="5" max="5" width="5" bestFit="1" customWidth="1"/>
    <col min="8" max="8" width="19.5703125" bestFit="1" customWidth="1"/>
    <col min="9" max="9" width="15.5703125" bestFit="1" customWidth="1"/>
    <col min="10" max="10" width="10.28515625" bestFit="1" customWidth="1"/>
    <col min="15" max="15" width="1.7109375" bestFit="1" customWidth="1"/>
    <col min="17" max="17" width="4.7109375" bestFit="1" customWidth="1"/>
  </cols>
  <sheetData>
    <row r="1" spans="1:21">
      <c r="I1" t="s">
        <v>37</v>
      </c>
    </row>
    <row r="2" spans="1:21">
      <c r="I2" t="s">
        <v>260</v>
      </c>
      <c r="J2" t="s">
        <v>124</v>
      </c>
    </row>
    <row r="5" spans="1:21">
      <c r="A5" t="s">
        <v>120</v>
      </c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</row>
    <row r="6" spans="1:21">
      <c r="A6">
        <v>1</v>
      </c>
      <c r="B6" t="str">
        <f t="shared" ref="B6:B60" si="0">"vstacks_"&amp;VLOOKUP(A6,$S$6:$T$18,2,FALSE)&amp;"~"&amp;TEXT(O6,"0000")</f>
        <v>vstacks_s1p1v1_d~0001</v>
      </c>
      <c r="C6" t="str">
        <f>H6</f>
        <v>e 1.5 deg no OS.e3d</v>
      </c>
      <c r="H6" t="str">
        <f>_xlfn.TEXTJOIN(".",TRUE,I6:J6)</f>
        <v>e 1.5 deg no OS.e3d</v>
      </c>
      <c r="I6" t="s">
        <v>258</v>
      </c>
      <c r="J6" t="str">
        <f>Q6</f>
        <v>e3d</v>
      </c>
      <c r="L6" t="s">
        <v>250</v>
      </c>
      <c r="O6">
        <v>1</v>
      </c>
      <c r="Q6" t="str">
        <f>VLOOKUP(A6,$S$6:$U$17,3,FALSE)</f>
        <v>e3d</v>
      </c>
      <c r="S6">
        <v>1</v>
      </c>
      <c r="T6" t="s">
        <v>230</v>
      </c>
      <c r="U6" t="s">
        <v>244</v>
      </c>
    </row>
    <row r="7" spans="1:21">
      <c r="A7">
        <v>1</v>
      </c>
      <c r="B7" t="str">
        <f t="shared" si="0"/>
        <v>vstacks_s1p1v1_d~0002</v>
      </c>
      <c r="C7" t="str">
        <f t="shared" ref="C7:C60" si="1">H7</f>
        <v>d 1.5 deg OS.e3d</v>
      </c>
      <c r="H7" t="str">
        <f t="shared" ref="H7:H60" si="2">_xlfn.TEXTJOIN(".",TRUE,I7:J7)</f>
        <v>d 1.5 deg OS.e3d</v>
      </c>
      <c r="I7" t="s">
        <v>257</v>
      </c>
      <c r="J7" t="str">
        <f t="shared" ref="J7:J60" si="3">Q7</f>
        <v>e3d</v>
      </c>
      <c r="L7" t="s">
        <v>251</v>
      </c>
      <c r="O7">
        <v>2</v>
      </c>
      <c r="Q7" t="str">
        <f t="shared" ref="Q7:Q60" si="4">VLOOKUP(A7,$S$6:$U$17,3,FALSE)</f>
        <v>e3d</v>
      </c>
      <c r="S7">
        <v>2</v>
      </c>
      <c r="T7" t="s">
        <v>231</v>
      </c>
      <c r="U7" t="s">
        <v>241</v>
      </c>
    </row>
    <row r="8" spans="1:21">
      <c r="A8">
        <v>1</v>
      </c>
      <c r="B8" t="str">
        <f t="shared" si="0"/>
        <v>vstacks_s1p1v1_d~0003</v>
      </c>
      <c r="C8" t="str">
        <f t="shared" si="1"/>
        <v>c 2 deg (67%).e3d</v>
      </c>
      <c r="H8" t="str">
        <f t="shared" si="2"/>
        <v>c 2 deg (67%).e3d</v>
      </c>
      <c r="I8" t="s">
        <v>256</v>
      </c>
      <c r="J8" t="str">
        <f t="shared" si="3"/>
        <v>e3d</v>
      </c>
      <c r="L8" t="s">
        <v>252</v>
      </c>
      <c r="O8">
        <v>3</v>
      </c>
      <c r="Q8" t="str">
        <f t="shared" si="4"/>
        <v>e3d</v>
      </c>
      <c r="S8">
        <v>3</v>
      </c>
      <c r="T8" t="s">
        <v>232</v>
      </c>
      <c r="U8" t="s">
        <v>242</v>
      </c>
    </row>
    <row r="9" spans="1:21">
      <c r="A9">
        <v>1</v>
      </c>
      <c r="B9" t="str">
        <f t="shared" si="0"/>
        <v>vstacks_s1p1v1_d~0004</v>
      </c>
      <c r="C9" t="str">
        <f t="shared" si="1"/>
        <v>b 2 deg (50%).e3d</v>
      </c>
      <c r="H9" t="str">
        <f t="shared" si="2"/>
        <v>b 2 deg (50%).e3d</v>
      </c>
      <c r="I9" t="s">
        <v>255</v>
      </c>
      <c r="J9" t="str">
        <f t="shared" si="3"/>
        <v>e3d</v>
      </c>
      <c r="L9" t="s">
        <v>253</v>
      </c>
      <c r="O9">
        <v>4</v>
      </c>
      <c r="Q9" t="str">
        <f t="shared" si="4"/>
        <v>e3d</v>
      </c>
      <c r="S9">
        <v>4</v>
      </c>
      <c r="T9" t="s">
        <v>233</v>
      </c>
      <c r="U9" t="s">
        <v>240</v>
      </c>
    </row>
    <row r="10" spans="1:21">
      <c r="A10">
        <v>1</v>
      </c>
      <c r="B10" t="str">
        <f t="shared" si="0"/>
        <v>vstacks_s1p1v1_d~0005</v>
      </c>
      <c r="C10" t="str">
        <f t="shared" si="1"/>
        <v>a 3 deg.e3d</v>
      </c>
      <c r="H10" t="str">
        <f t="shared" si="2"/>
        <v>a 3 deg.e3d</v>
      </c>
      <c r="I10" t="s">
        <v>259</v>
      </c>
      <c r="J10" t="str">
        <f t="shared" si="3"/>
        <v>e3d</v>
      </c>
      <c r="L10" t="s">
        <v>254</v>
      </c>
      <c r="O10">
        <v>5</v>
      </c>
      <c r="Q10" t="str">
        <f t="shared" si="4"/>
        <v>e3d</v>
      </c>
      <c r="S10">
        <v>5</v>
      </c>
      <c r="T10" t="s">
        <v>234</v>
      </c>
      <c r="U10" t="s">
        <v>247</v>
      </c>
    </row>
    <row r="11" spans="1:21">
      <c r="A11">
        <f>A6+1</f>
        <v>2</v>
      </c>
      <c r="B11" t="str">
        <f t="shared" si="0"/>
        <v>vstacks_s3p3v3_d~0001</v>
      </c>
      <c r="C11" t="str">
        <f t="shared" si="1"/>
        <v>e 1.5 deg no OS.d9d</v>
      </c>
      <c r="H11" t="str">
        <f t="shared" si="2"/>
        <v>e 1.5 deg no OS.d9d</v>
      </c>
      <c r="I11" t="str">
        <f>I6</f>
        <v>e 1.5 deg no OS</v>
      </c>
      <c r="J11" t="str">
        <f t="shared" si="3"/>
        <v>d9d</v>
      </c>
      <c r="O11">
        <f>O6</f>
        <v>1</v>
      </c>
      <c r="Q11" t="str">
        <f t="shared" si="4"/>
        <v>d9d</v>
      </c>
      <c r="S11">
        <v>6</v>
      </c>
      <c r="T11" t="s">
        <v>235</v>
      </c>
      <c r="U11" t="s">
        <v>246</v>
      </c>
    </row>
    <row r="12" spans="1:21">
      <c r="A12">
        <f t="shared" ref="A12:A60" si="5">A7+1</f>
        <v>2</v>
      </c>
      <c r="B12" t="str">
        <f t="shared" si="0"/>
        <v>vstacks_s3p3v3_d~0002</v>
      </c>
      <c r="C12" t="str">
        <f t="shared" si="1"/>
        <v>d 1.5 deg OS.d9d</v>
      </c>
      <c r="H12" t="str">
        <f t="shared" si="2"/>
        <v>d 1.5 deg OS.d9d</v>
      </c>
      <c r="I12" t="str">
        <f t="shared" ref="I12:I60" si="6">I7</f>
        <v>d 1.5 deg OS</v>
      </c>
      <c r="J12" t="str">
        <f t="shared" si="3"/>
        <v>d9d</v>
      </c>
      <c r="O12">
        <f t="shared" ref="O12:O60" si="7">O7</f>
        <v>2</v>
      </c>
      <c r="Q12" t="str">
        <f t="shared" si="4"/>
        <v>d9d</v>
      </c>
      <c r="S12">
        <v>7</v>
      </c>
      <c r="T12" t="s">
        <v>236</v>
      </c>
      <c r="U12" t="s">
        <v>245</v>
      </c>
    </row>
    <row r="13" spans="1:21">
      <c r="A13">
        <f t="shared" si="5"/>
        <v>2</v>
      </c>
      <c r="B13" t="str">
        <f t="shared" si="0"/>
        <v>vstacks_s3p3v3_d~0003</v>
      </c>
      <c r="C13" t="str">
        <f t="shared" si="1"/>
        <v>c 2 deg (67%).d9d</v>
      </c>
      <c r="H13" t="str">
        <f t="shared" si="2"/>
        <v>c 2 deg (67%).d9d</v>
      </c>
      <c r="I13" t="str">
        <f t="shared" si="6"/>
        <v>c 2 deg (67%)</v>
      </c>
      <c r="J13" t="str">
        <f t="shared" si="3"/>
        <v>d9d</v>
      </c>
      <c r="O13">
        <f t="shared" si="7"/>
        <v>3</v>
      </c>
      <c r="Q13" t="str">
        <f t="shared" si="4"/>
        <v>d9d</v>
      </c>
      <c r="S13">
        <v>8</v>
      </c>
      <c r="T13" t="s">
        <v>237</v>
      </c>
      <c r="U13" t="s">
        <v>243</v>
      </c>
    </row>
    <row r="14" spans="1:21">
      <c r="A14">
        <f t="shared" si="5"/>
        <v>2</v>
      </c>
      <c r="B14" t="str">
        <f t="shared" si="0"/>
        <v>vstacks_s3p3v3_d~0004</v>
      </c>
      <c r="C14" t="str">
        <f t="shared" si="1"/>
        <v>b 2 deg (50%).d9d</v>
      </c>
      <c r="H14" t="str">
        <f t="shared" si="2"/>
        <v>b 2 deg (50%).d9d</v>
      </c>
      <c r="I14" t="str">
        <f t="shared" si="6"/>
        <v>b 2 deg (50%)</v>
      </c>
      <c r="J14" t="str">
        <f t="shared" si="3"/>
        <v>d9d</v>
      </c>
      <c r="O14">
        <f t="shared" si="7"/>
        <v>4</v>
      </c>
      <c r="Q14" t="str">
        <f t="shared" si="4"/>
        <v>d9d</v>
      </c>
      <c r="S14">
        <v>9</v>
      </c>
      <c r="T14" t="s">
        <v>239</v>
      </c>
      <c r="U14" t="s">
        <v>248</v>
      </c>
    </row>
    <row r="15" spans="1:21">
      <c r="A15">
        <f t="shared" si="5"/>
        <v>2</v>
      </c>
      <c r="B15" t="str">
        <f t="shared" si="0"/>
        <v>vstacks_s3p3v3_d~0005</v>
      </c>
      <c r="C15" t="str">
        <f t="shared" si="1"/>
        <v>a 3 deg.d9d</v>
      </c>
      <c r="H15" t="str">
        <f t="shared" si="2"/>
        <v>a 3 deg.d9d</v>
      </c>
      <c r="I15" t="str">
        <f t="shared" si="6"/>
        <v>a 3 deg</v>
      </c>
      <c r="J15" t="str">
        <f t="shared" si="3"/>
        <v>d9d</v>
      </c>
      <c r="O15">
        <f t="shared" si="7"/>
        <v>5</v>
      </c>
      <c r="Q15" t="str">
        <f t="shared" si="4"/>
        <v>d9d</v>
      </c>
      <c r="S15">
        <v>10</v>
      </c>
      <c r="T15" t="s">
        <v>238</v>
      </c>
      <c r="U15" t="s">
        <v>249</v>
      </c>
    </row>
    <row r="16" spans="1:21">
      <c r="A16">
        <f t="shared" si="5"/>
        <v>3</v>
      </c>
      <c r="B16" t="str">
        <f t="shared" si="0"/>
        <v>vstacks_s2_w~0001</v>
      </c>
      <c r="C16" t="str">
        <f t="shared" si="1"/>
        <v>e 1.5 deg no OS.b2w</v>
      </c>
      <c r="H16" t="str">
        <f t="shared" si="2"/>
        <v>e 1.5 deg no OS.b2w</v>
      </c>
      <c r="I16" t="str">
        <f t="shared" si="6"/>
        <v>e 1.5 deg no OS</v>
      </c>
      <c r="J16" t="str">
        <f t="shared" si="3"/>
        <v>b2w</v>
      </c>
      <c r="O16">
        <f t="shared" si="7"/>
        <v>1</v>
      </c>
      <c r="Q16" t="str">
        <f t="shared" si="4"/>
        <v>b2w</v>
      </c>
      <c r="S16">
        <v>11</v>
      </c>
      <c r="T16" t="s">
        <v>262</v>
      </c>
      <c r="U16" t="s">
        <v>263</v>
      </c>
    </row>
    <row r="17" spans="1:17">
      <c r="A17">
        <f t="shared" si="5"/>
        <v>3</v>
      </c>
      <c r="B17" t="str">
        <f t="shared" si="0"/>
        <v>vstacks_s2_w~0002</v>
      </c>
      <c r="C17" t="str">
        <f t="shared" si="1"/>
        <v>d 1.5 deg OS.b2w</v>
      </c>
      <c r="H17" t="str">
        <f t="shared" si="2"/>
        <v>d 1.5 deg OS.b2w</v>
      </c>
      <c r="I17" t="str">
        <f t="shared" si="6"/>
        <v>d 1.5 deg OS</v>
      </c>
      <c r="J17" t="str">
        <f t="shared" si="3"/>
        <v>b2w</v>
      </c>
      <c r="O17">
        <f t="shared" si="7"/>
        <v>2</v>
      </c>
      <c r="Q17" t="str">
        <f t="shared" si="4"/>
        <v>b2w</v>
      </c>
    </row>
    <row r="18" spans="1:17">
      <c r="A18">
        <f t="shared" si="5"/>
        <v>3</v>
      </c>
      <c r="B18" t="str">
        <f t="shared" si="0"/>
        <v>vstacks_s2_w~0003</v>
      </c>
      <c r="C18" t="str">
        <f t="shared" si="1"/>
        <v>c 2 deg (67%).b2w</v>
      </c>
      <c r="H18" t="str">
        <f t="shared" si="2"/>
        <v>c 2 deg (67%).b2w</v>
      </c>
      <c r="I18" t="str">
        <f t="shared" si="6"/>
        <v>c 2 deg (67%)</v>
      </c>
      <c r="J18" t="str">
        <f t="shared" si="3"/>
        <v>b2w</v>
      </c>
      <c r="O18">
        <f t="shared" si="7"/>
        <v>3</v>
      </c>
      <c r="Q18" t="str">
        <f t="shared" si="4"/>
        <v>b2w</v>
      </c>
    </row>
    <row r="19" spans="1:17">
      <c r="A19">
        <f t="shared" si="5"/>
        <v>3</v>
      </c>
      <c r="B19" t="str">
        <f t="shared" si="0"/>
        <v>vstacks_s2_w~0004</v>
      </c>
      <c r="C19" t="str">
        <f t="shared" si="1"/>
        <v>b 2 deg (50%).b2w</v>
      </c>
      <c r="H19" t="str">
        <f t="shared" si="2"/>
        <v>b 2 deg (50%).b2w</v>
      </c>
      <c r="I19" t="str">
        <f t="shared" si="6"/>
        <v>b 2 deg (50%)</v>
      </c>
      <c r="J19" t="str">
        <f t="shared" si="3"/>
        <v>b2w</v>
      </c>
      <c r="O19">
        <f t="shared" si="7"/>
        <v>4</v>
      </c>
      <c r="Q19" t="str">
        <f t="shared" si="4"/>
        <v>b2w</v>
      </c>
    </row>
    <row r="20" spans="1:17">
      <c r="A20">
        <f t="shared" si="5"/>
        <v>3</v>
      </c>
      <c r="B20" t="str">
        <f t="shared" si="0"/>
        <v>vstacks_s2_w~0005</v>
      </c>
      <c r="C20" t="str">
        <f t="shared" si="1"/>
        <v>a 3 deg.b2w</v>
      </c>
      <c r="H20" t="str">
        <f t="shared" si="2"/>
        <v>a 3 deg.b2w</v>
      </c>
      <c r="I20" t="str">
        <f t="shared" si="6"/>
        <v>a 3 deg</v>
      </c>
      <c r="J20" t="str">
        <f t="shared" si="3"/>
        <v>b2w</v>
      </c>
      <c r="O20">
        <f t="shared" si="7"/>
        <v>5</v>
      </c>
      <c r="Q20" t="str">
        <f t="shared" si="4"/>
        <v>b2w</v>
      </c>
    </row>
    <row r="21" spans="1:17">
      <c r="A21">
        <f t="shared" si="5"/>
        <v>4</v>
      </c>
      <c r="B21" t="str">
        <f t="shared" si="0"/>
        <v>vstacks_s2_w_p2_d~0001</v>
      </c>
      <c r="C21" t="str">
        <f t="shared" si="1"/>
        <v>e 1.5 deg no OS.a2w2d</v>
      </c>
      <c r="H21" t="str">
        <f t="shared" si="2"/>
        <v>e 1.5 deg no OS.a2w2d</v>
      </c>
      <c r="I21" t="str">
        <f t="shared" si="6"/>
        <v>e 1.5 deg no OS</v>
      </c>
      <c r="J21" t="str">
        <f t="shared" si="3"/>
        <v>a2w2d</v>
      </c>
      <c r="O21">
        <f t="shared" si="7"/>
        <v>1</v>
      </c>
      <c r="Q21" t="str">
        <f t="shared" si="4"/>
        <v>a2w2d</v>
      </c>
    </row>
    <row r="22" spans="1:17">
      <c r="A22">
        <f t="shared" si="5"/>
        <v>4</v>
      </c>
      <c r="B22" t="str">
        <f t="shared" si="0"/>
        <v>vstacks_s2_w_p2_d~0002</v>
      </c>
      <c r="C22" t="str">
        <f t="shared" si="1"/>
        <v>d 1.5 deg OS.a2w2d</v>
      </c>
      <c r="H22" t="str">
        <f t="shared" si="2"/>
        <v>d 1.5 deg OS.a2w2d</v>
      </c>
      <c r="I22" t="str">
        <f t="shared" si="6"/>
        <v>d 1.5 deg OS</v>
      </c>
      <c r="J22" t="str">
        <f t="shared" si="3"/>
        <v>a2w2d</v>
      </c>
      <c r="O22">
        <f t="shared" si="7"/>
        <v>2</v>
      </c>
      <c r="Q22" t="str">
        <f t="shared" si="4"/>
        <v>a2w2d</v>
      </c>
    </row>
    <row r="23" spans="1:17">
      <c r="A23">
        <f t="shared" si="5"/>
        <v>4</v>
      </c>
      <c r="B23" t="str">
        <f t="shared" si="0"/>
        <v>vstacks_s2_w_p2_d~0003</v>
      </c>
      <c r="C23" t="str">
        <f t="shared" si="1"/>
        <v>c 2 deg (67%).a2w2d</v>
      </c>
      <c r="H23" t="str">
        <f t="shared" si="2"/>
        <v>c 2 deg (67%).a2w2d</v>
      </c>
      <c r="I23" t="str">
        <f t="shared" si="6"/>
        <v>c 2 deg (67%)</v>
      </c>
      <c r="J23" t="str">
        <f t="shared" si="3"/>
        <v>a2w2d</v>
      </c>
      <c r="O23">
        <f t="shared" si="7"/>
        <v>3</v>
      </c>
      <c r="Q23" t="str">
        <f t="shared" si="4"/>
        <v>a2w2d</v>
      </c>
    </row>
    <row r="24" spans="1:17">
      <c r="A24">
        <f t="shared" si="5"/>
        <v>4</v>
      </c>
      <c r="B24" t="str">
        <f t="shared" si="0"/>
        <v>vstacks_s2_w_p2_d~0004</v>
      </c>
      <c r="C24" t="str">
        <f t="shared" si="1"/>
        <v>b 2 deg (50%).a2w2d</v>
      </c>
      <c r="H24" t="str">
        <f t="shared" si="2"/>
        <v>b 2 deg (50%).a2w2d</v>
      </c>
      <c r="I24" t="str">
        <f t="shared" si="6"/>
        <v>b 2 deg (50%)</v>
      </c>
      <c r="J24" t="str">
        <f t="shared" si="3"/>
        <v>a2w2d</v>
      </c>
      <c r="O24">
        <f t="shared" si="7"/>
        <v>4</v>
      </c>
      <c r="Q24" t="str">
        <f t="shared" si="4"/>
        <v>a2w2d</v>
      </c>
    </row>
    <row r="25" spans="1:17">
      <c r="A25">
        <f t="shared" si="5"/>
        <v>4</v>
      </c>
      <c r="B25" t="str">
        <f t="shared" si="0"/>
        <v>vstacks_s2_w_p2_d~0005</v>
      </c>
      <c r="C25" t="str">
        <f t="shared" si="1"/>
        <v>a 3 deg.a2w2d</v>
      </c>
      <c r="H25" t="str">
        <f t="shared" si="2"/>
        <v>a 3 deg.a2w2d</v>
      </c>
      <c r="I25" t="str">
        <f t="shared" si="6"/>
        <v>a 3 deg</v>
      </c>
      <c r="J25" t="str">
        <f t="shared" si="3"/>
        <v>a2w2d</v>
      </c>
      <c r="O25">
        <f t="shared" si="7"/>
        <v>5</v>
      </c>
      <c r="Q25" t="str">
        <f t="shared" si="4"/>
        <v>a2w2d</v>
      </c>
    </row>
    <row r="26" spans="1:17">
      <c r="A26">
        <f t="shared" si="5"/>
        <v>5</v>
      </c>
      <c r="B26" t="str">
        <f t="shared" si="0"/>
        <v>vstacks_ts12_clu~0001</v>
      </c>
      <c r="C26" t="str">
        <f t="shared" si="1"/>
        <v>e 1.5 deg no OS.hTS12c</v>
      </c>
      <c r="H26" t="str">
        <f t="shared" si="2"/>
        <v>e 1.5 deg no OS.hTS12c</v>
      </c>
      <c r="I26" t="str">
        <f t="shared" si="6"/>
        <v>e 1.5 deg no OS</v>
      </c>
      <c r="J26" t="str">
        <f t="shared" si="3"/>
        <v>hTS12c</v>
      </c>
      <c r="O26">
        <f t="shared" si="7"/>
        <v>1</v>
      </c>
      <c r="Q26" t="str">
        <f t="shared" si="4"/>
        <v>hTS12c</v>
      </c>
    </row>
    <row r="27" spans="1:17">
      <c r="A27">
        <f t="shared" si="5"/>
        <v>5</v>
      </c>
      <c r="B27" t="str">
        <f t="shared" si="0"/>
        <v>vstacks_ts12_clu~0002</v>
      </c>
      <c r="C27" t="str">
        <f t="shared" si="1"/>
        <v>d 1.5 deg OS.hTS12c</v>
      </c>
      <c r="H27" t="str">
        <f t="shared" si="2"/>
        <v>d 1.5 deg OS.hTS12c</v>
      </c>
      <c r="I27" t="str">
        <f t="shared" si="6"/>
        <v>d 1.5 deg OS</v>
      </c>
      <c r="J27" t="str">
        <f t="shared" si="3"/>
        <v>hTS12c</v>
      </c>
      <c r="O27">
        <f t="shared" si="7"/>
        <v>2</v>
      </c>
      <c r="Q27" t="str">
        <f t="shared" si="4"/>
        <v>hTS12c</v>
      </c>
    </row>
    <row r="28" spans="1:17">
      <c r="A28">
        <f t="shared" si="5"/>
        <v>5</v>
      </c>
      <c r="B28" t="str">
        <f t="shared" si="0"/>
        <v>vstacks_ts12_clu~0003</v>
      </c>
      <c r="C28" t="str">
        <f t="shared" si="1"/>
        <v>c 2 deg (67%).hTS12c</v>
      </c>
      <c r="H28" t="str">
        <f t="shared" si="2"/>
        <v>c 2 deg (67%).hTS12c</v>
      </c>
      <c r="I28" t="str">
        <f t="shared" si="6"/>
        <v>c 2 deg (67%)</v>
      </c>
      <c r="J28" t="str">
        <f t="shared" si="3"/>
        <v>hTS12c</v>
      </c>
      <c r="O28">
        <f t="shared" si="7"/>
        <v>3</v>
      </c>
      <c r="Q28" t="str">
        <f t="shared" si="4"/>
        <v>hTS12c</v>
      </c>
    </row>
    <row r="29" spans="1:17">
      <c r="A29">
        <f t="shared" si="5"/>
        <v>5</v>
      </c>
      <c r="B29" t="str">
        <f t="shared" si="0"/>
        <v>vstacks_ts12_clu~0004</v>
      </c>
      <c r="C29" t="str">
        <f t="shared" si="1"/>
        <v>b 2 deg (50%).hTS12c</v>
      </c>
      <c r="H29" t="str">
        <f t="shared" si="2"/>
        <v>b 2 deg (50%).hTS12c</v>
      </c>
      <c r="I29" t="str">
        <f t="shared" si="6"/>
        <v>b 2 deg (50%)</v>
      </c>
      <c r="J29" t="str">
        <f t="shared" si="3"/>
        <v>hTS12c</v>
      </c>
      <c r="O29">
        <f t="shared" si="7"/>
        <v>4</v>
      </c>
      <c r="Q29" t="str">
        <f t="shared" si="4"/>
        <v>hTS12c</v>
      </c>
    </row>
    <row r="30" spans="1:17">
      <c r="A30">
        <f t="shared" si="5"/>
        <v>5</v>
      </c>
      <c r="B30" t="str">
        <f t="shared" si="0"/>
        <v>vstacks_ts12_clu~0005</v>
      </c>
      <c r="C30" t="str">
        <f t="shared" si="1"/>
        <v>a 3 deg.hTS12c</v>
      </c>
      <c r="H30" t="str">
        <f t="shared" si="2"/>
        <v>a 3 deg.hTS12c</v>
      </c>
      <c r="I30" t="str">
        <f t="shared" si="6"/>
        <v>a 3 deg</v>
      </c>
      <c r="J30" t="str">
        <f t="shared" si="3"/>
        <v>hTS12c</v>
      </c>
      <c r="O30">
        <f t="shared" si="7"/>
        <v>5</v>
      </c>
      <c r="Q30" t="str">
        <f t="shared" si="4"/>
        <v>hTS12c</v>
      </c>
    </row>
    <row r="31" spans="1:17">
      <c r="A31">
        <f t="shared" si="5"/>
        <v>6</v>
      </c>
      <c r="B31" t="str">
        <f t="shared" si="0"/>
        <v>vstacks_ts24_clu~0001</v>
      </c>
      <c r="C31" t="str">
        <f t="shared" si="1"/>
        <v>e 1.5 deg no OS.gTS24c</v>
      </c>
      <c r="H31" t="str">
        <f t="shared" si="2"/>
        <v>e 1.5 deg no OS.gTS24c</v>
      </c>
      <c r="I31" t="str">
        <f t="shared" si="6"/>
        <v>e 1.5 deg no OS</v>
      </c>
      <c r="J31" t="str">
        <f t="shared" si="3"/>
        <v>gTS24c</v>
      </c>
      <c r="O31">
        <f t="shared" si="7"/>
        <v>1</v>
      </c>
      <c r="Q31" t="str">
        <f t="shared" si="4"/>
        <v>gTS24c</v>
      </c>
    </row>
    <row r="32" spans="1:17">
      <c r="A32">
        <f t="shared" si="5"/>
        <v>6</v>
      </c>
      <c r="B32" t="str">
        <f t="shared" si="0"/>
        <v>vstacks_ts24_clu~0002</v>
      </c>
      <c r="C32" t="str">
        <f t="shared" si="1"/>
        <v>d 1.5 deg OS.gTS24c</v>
      </c>
      <c r="H32" t="str">
        <f t="shared" si="2"/>
        <v>d 1.5 deg OS.gTS24c</v>
      </c>
      <c r="I32" t="str">
        <f t="shared" si="6"/>
        <v>d 1.5 deg OS</v>
      </c>
      <c r="J32" t="str">
        <f t="shared" si="3"/>
        <v>gTS24c</v>
      </c>
      <c r="O32">
        <f t="shared" si="7"/>
        <v>2</v>
      </c>
      <c r="Q32" t="str">
        <f t="shared" si="4"/>
        <v>gTS24c</v>
      </c>
    </row>
    <row r="33" spans="1:17">
      <c r="A33">
        <f t="shared" si="5"/>
        <v>6</v>
      </c>
      <c r="B33" t="str">
        <f t="shared" si="0"/>
        <v>vstacks_ts24_clu~0003</v>
      </c>
      <c r="C33" t="str">
        <f t="shared" si="1"/>
        <v>c 2 deg (67%).gTS24c</v>
      </c>
      <c r="H33" t="str">
        <f t="shared" si="2"/>
        <v>c 2 deg (67%).gTS24c</v>
      </c>
      <c r="I33" t="str">
        <f t="shared" si="6"/>
        <v>c 2 deg (67%)</v>
      </c>
      <c r="J33" t="str">
        <f t="shared" si="3"/>
        <v>gTS24c</v>
      </c>
      <c r="O33">
        <f t="shared" si="7"/>
        <v>3</v>
      </c>
      <c r="Q33" t="str">
        <f t="shared" si="4"/>
        <v>gTS24c</v>
      </c>
    </row>
    <row r="34" spans="1:17">
      <c r="A34">
        <f t="shared" si="5"/>
        <v>6</v>
      </c>
      <c r="B34" t="str">
        <f t="shared" si="0"/>
        <v>vstacks_ts24_clu~0004</v>
      </c>
      <c r="C34" t="str">
        <f t="shared" si="1"/>
        <v>b 2 deg (50%).gTS24c</v>
      </c>
      <c r="H34" t="str">
        <f t="shared" si="2"/>
        <v>b 2 deg (50%).gTS24c</v>
      </c>
      <c r="I34" t="str">
        <f t="shared" si="6"/>
        <v>b 2 deg (50%)</v>
      </c>
      <c r="J34" t="str">
        <f t="shared" si="3"/>
        <v>gTS24c</v>
      </c>
      <c r="O34">
        <f t="shared" si="7"/>
        <v>4</v>
      </c>
      <c r="Q34" t="str">
        <f t="shared" si="4"/>
        <v>gTS24c</v>
      </c>
    </row>
    <row r="35" spans="1:17">
      <c r="A35">
        <f t="shared" si="5"/>
        <v>6</v>
      </c>
      <c r="B35" t="str">
        <f t="shared" si="0"/>
        <v>vstacks_ts24_clu~0005</v>
      </c>
      <c r="C35" t="str">
        <f t="shared" si="1"/>
        <v>a 3 deg.gTS24c</v>
      </c>
      <c r="H35" t="str">
        <f t="shared" si="2"/>
        <v>a 3 deg.gTS24c</v>
      </c>
      <c r="I35" t="str">
        <f t="shared" si="6"/>
        <v>a 3 deg</v>
      </c>
      <c r="J35" t="str">
        <f t="shared" si="3"/>
        <v>gTS24c</v>
      </c>
      <c r="O35">
        <f t="shared" si="7"/>
        <v>5</v>
      </c>
      <c r="Q35" t="str">
        <f t="shared" si="4"/>
        <v>gTS24c</v>
      </c>
    </row>
    <row r="36" spans="1:17">
      <c r="A36">
        <f t="shared" si="5"/>
        <v>7</v>
      </c>
      <c r="B36" t="str">
        <f t="shared" si="0"/>
        <v>vstacks_ts48_clu~0001</v>
      </c>
      <c r="C36" t="str">
        <f t="shared" si="1"/>
        <v>e 1.5 deg no OS.fTS48c</v>
      </c>
      <c r="H36" t="str">
        <f t="shared" si="2"/>
        <v>e 1.5 deg no OS.fTS48c</v>
      </c>
      <c r="I36" t="str">
        <f t="shared" si="6"/>
        <v>e 1.5 deg no OS</v>
      </c>
      <c r="J36" t="str">
        <f t="shared" si="3"/>
        <v>fTS48c</v>
      </c>
      <c r="O36">
        <f t="shared" si="7"/>
        <v>1</v>
      </c>
      <c r="Q36" t="str">
        <f t="shared" si="4"/>
        <v>fTS48c</v>
      </c>
    </row>
    <row r="37" spans="1:17">
      <c r="A37">
        <f t="shared" si="5"/>
        <v>7</v>
      </c>
      <c r="B37" t="str">
        <f t="shared" si="0"/>
        <v>vstacks_ts48_clu~0002</v>
      </c>
      <c r="C37" t="str">
        <f t="shared" si="1"/>
        <v>d 1.5 deg OS.fTS48c</v>
      </c>
      <c r="H37" t="str">
        <f t="shared" si="2"/>
        <v>d 1.5 deg OS.fTS48c</v>
      </c>
      <c r="I37" t="str">
        <f t="shared" si="6"/>
        <v>d 1.5 deg OS</v>
      </c>
      <c r="J37" t="str">
        <f t="shared" si="3"/>
        <v>fTS48c</v>
      </c>
      <c r="O37">
        <f t="shared" si="7"/>
        <v>2</v>
      </c>
      <c r="Q37" t="str">
        <f t="shared" si="4"/>
        <v>fTS48c</v>
      </c>
    </row>
    <row r="38" spans="1:17">
      <c r="A38">
        <f t="shared" si="5"/>
        <v>7</v>
      </c>
      <c r="B38" t="str">
        <f t="shared" si="0"/>
        <v>vstacks_ts48_clu~0003</v>
      </c>
      <c r="C38" t="str">
        <f t="shared" si="1"/>
        <v>c 2 deg (67%).fTS48c</v>
      </c>
      <c r="H38" t="str">
        <f t="shared" si="2"/>
        <v>c 2 deg (67%).fTS48c</v>
      </c>
      <c r="I38" t="str">
        <f t="shared" si="6"/>
        <v>c 2 deg (67%)</v>
      </c>
      <c r="J38" t="str">
        <f t="shared" si="3"/>
        <v>fTS48c</v>
      </c>
      <c r="O38">
        <f t="shared" si="7"/>
        <v>3</v>
      </c>
      <c r="Q38" t="str">
        <f t="shared" si="4"/>
        <v>fTS48c</v>
      </c>
    </row>
    <row r="39" spans="1:17">
      <c r="A39">
        <f t="shared" si="5"/>
        <v>7</v>
      </c>
      <c r="B39" t="str">
        <f t="shared" si="0"/>
        <v>vstacks_ts48_clu~0004</v>
      </c>
      <c r="C39" t="str">
        <f t="shared" si="1"/>
        <v>b 2 deg (50%).fTS48c</v>
      </c>
      <c r="H39" t="str">
        <f t="shared" si="2"/>
        <v>b 2 deg (50%).fTS48c</v>
      </c>
      <c r="I39" t="str">
        <f t="shared" si="6"/>
        <v>b 2 deg (50%)</v>
      </c>
      <c r="J39" t="str">
        <f t="shared" si="3"/>
        <v>fTS48c</v>
      </c>
      <c r="O39">
        <f t="shared" si="7"/>
        <v>4</v>
      </c>
      <c r="Q39" t="str">
        <f t="shared" si="4"/>
        <v>fTS48c</v>
      </c>
    </row>
    <row r="40" spans="1:17">
      <c r="A40">
        <f t="shared" si="5"/>
        <v>7</v>
      </c>
      <c r="B40" t="str">
        <f t="shared" si="0"/>
        <v>vstacks_ts48_clu~0005</v>
      </c>
      <c r="C40" t="str">
        <f t="shared" si="1"/>
        <v>a 3 deg.fTS48c</v>
      </c>
      <c r="H40" t="str">
        <f t="shared" si="2"/>
        <v>a 3 deg.fTS48c</v>
      </c>
      <c r="I40" t="str">
        <f t="shared" si="6"/>
        <v>a 3 deg</v>
      </c>
      <c r="J40" t="str">
        <f t="shared" si="3"/>
        <v>fTS48c</v>
      </c>
      <c r="O40">
        <f t="shared" si="7"/>
        <v>5</v>
      </c>
      <c r="Q40" t="str">
        <f t="shared" si="4"/>
        <v>fTS48c</v>
      </c>
    </row>
    <row r="41" spans="1:17">
      <c r="A41">
        <f t="shared" si="5"/>
        <v>8</v>
      </c>
      <c r="B41" t="str">
        <f t="shared" si="0"/>
        <v>vstacks_s5p5v5_d~0001</v>
      </c>
      <c r="C41" t="str">
        <f t="shared" si="1"/>
        <v>e 1.5 deg no OS.c15d</v>
      </c>
      <c r="H41" t="str">
        <f t="shared" si="2"/>
        <v>e 1.5 deg no OS.c15d</v>
      </c>
      <c r="I41" t="str">
        <f t="shared" si="6"/>
        <v>e 1.5 deg no OS</v>
      </c>
      <c r="J41" t="str">
        <f t="shared" si="3"/>
        <v>c15d</v>
      </c>
      <c r="O41">
        <f t="shared" si="7"/>
        <v>1</v>
      </c>
      <c r="Q41" t="str">
        <f t="shared" si="4"/>
        <v>c15d</v>
      </c>
    </row>
    <row r="42" spans="1:17">
      <c r="A42">
        <f t="shared" si="5"/>
        <v>8</v>
      </c>
      <c r="B42" t="str">
        <f t="shared" si="0"/>
        <v>vstacks_s5p5v5_d~0002</v>
      </c>
      <c r="C42" t="str">
        <f t="shared" si="1"/>
        <v>d 1.5 deg OS.c15d</v>
      </c>
      <c r="H42" t="str">
        <f t="shared" si="2"/>
        <v>d 1.5 deg OS.c15d</v>
      </c>
      <c r="I42" t="str">
        <f t="shared" si="6"/>
        <v>d 1.5 deg OS</v>
      </c>
      <c r="J42" t="str">
        <f t="shared" si="3"/>
        <v>c15d</v>
      </c>
      <c r="O42">
        <f t="shared" si="7"/>
        <v>2</v>
      </c>
      <c r="Q42" t="str">
        <f t="shared" si="4"/>
        <v>c15d</v>
      </c>
    </row>
    <row r="43" spans="1:17">
      <c r="A43">
        <f t="shared" si="5"/>
        <v>8</v>
      </c>
      <c r="B43" t="str">
        <f t="shared" si="0"/>
        <v>vstacks_s5p5v5_d~0003</v>
      </c>
      <c r="C43" t="str">
        <f t="shared" si="1"/>
        <v>c 2 deg (67%).c15d</v>
      </c>
      <c r="H43" t="str">
        <f t="shared" si="2"/>
        <v>c 2 deg (67%).c15d</v>
      </c>
      <c r="I43" t="str">
        <f t="shared" si="6"/>
        <v>c 2 deg (67%)</v>
      </c>
      <c r="J43" t="str">
        <f t="shared" si="3"/>
        <v>c15d</v>
      </c>
      <c r="O43">
        <f t="shared" si="7"/>
        <v>3</v>
      </c>
      <c r="Q43" t="str">
        <f t="shared" si="4"/>
        <v>c15d</v>
      </c>
    </row>
    <row r="44" spans="1:17">
      <c r="A44">
        <f t="shared" si="5"/>
        <v>8</v>
      </c>
      <c r="B44" t="str">
        <f t="shared" si="0"/>
        <v>vstacks_s5p5v5_d~0004</v>
      </c>
      <c r="C44" t="str">
        <f t="shared" si="1"/>
        <v>b 2 deg (50%).c15d</v>
      </c>
      <c r="H44" t="str">
        <f t="shared" si="2"/>
        <v>b 2 deg (50%).c15d</v>
      </c>
      <c r="I44" t="str">
        <f t="shared" si="6"/>
        <v>b 2 deg (50%)</v>
      </c>
      <c r="J44" t="str">
        <f t="shared" si="3"/>
        <v>c15d</v>
      </c>
      <c r="O44">
        <f t="shared" si="7"/>
        <v>4</v>
      </c>
      <c r="Q44" t="str">
        <f t="shared" si="4"/>
        <v>c15d</v>
      </c>
    </row>
    <row r="45" spans="1:17">
      <c r="A45">
        <f t="shared" si="5"/>
        <v>8</v>
      </c>
      <c r="B45" t="str">
        <f t="shared" si="0"/>
        <v>vstacks_s5p5v5_d~0005</v>
      </c>
      <c r="C45" t="str">
        <f t="shared" si="1"/>
        <v>a 3 deg.c15d</v>
      </c>
      <c r="H45" t="str">
        <f t="shared" si="2"/>
        <v>a 3 deg.c15d</v>
      </c>
      <c r="I45" t="str">
        <f t="shared" si="6"/>
        <v>a 3 deg</v>
      </c>
      <c r="J45" t="str">
        <f t="shared" si="3"/>
        <v>c15d</v>
      </c>
      <c r="O45">
        <f t="shared" si="7"/>
        <v>5</v>
      </c>
      <c r="Q45" t="str">
        <f t="shared" si="4"/>
        <v>c15d</v>
      </c>
    </row>
    <row r="46" spans="1:17">
      <c r="A46">
        <f t="shared" si="5"/>
        <v>9</v>
      </c>
      <c r="B46" t="str">
        <f t="shared" si="0"/>
        <v>vstacks_ts_12~0001</v>
      </c>
      <c r="C46" t="str">
        <f t="shared" si="1"/>
        <v>e 1.5 deg no OS.iTS12</v>
      </c>
      <c r="H46" t="str">
        <f t="shared" si="2"/>
        <v>e 1.5 deg no OS.iTS12</v>
      </c>
      <c r="I46" t="str">
        <f t="shared" si="6"/>
        <v>e 1.5 deg no OS</v>
      </c>
      <c r="J46" t="str">
        <f t="shared" si="3"/>
        <v>iTS12</v>
      </c>
      <c r="O46">
        <f t="shared" si="7"/>
        <v>1</v>
      </c>
      <c r="Q46" t="str">
        <f t="shared" si="4"/>
        <v>iTS12</v>
      </c>
    </row>
    <row r="47" spans="1:17">
      <c r="A47">
        <f t="shared" si="5"/>
        <v>9</v>
      </c>
      <c r="B47" t="str">
        <f t="shared" si="0"/>
        <v>vstacks_ts_12~0002</v>
      </c>
      <c r="C47" t="str">
        <f t="shared" si="1"/>
        <v>d 1.5 deg OS.iTS12</v>
      </c>
      <c r="H47" t="str">
        <f t="shared" si="2"/>
        <v>d 1.5 deg OS.iTS12</v>
      </c>
      <c r="I47" t="str">
        <f t="shared" si="6"/>
        <v>d 1.5 deg OS</v>
      </c>
      <c r="J47" t="str">
        <f t="shared" si="3"/>
        <v>iTS12</v>
      </c>
      <c r="O47">
        <f t="shared" si="7"/>
        <v>2</v>
      </c>
      <c r="Q47" t="str">
        <f t="shared" si="4"/>
        <v>iTS12</v>
      </c>
    </row>
    <row r="48" spans="1:17">
      <c r="A48">
        <f t="shared" si="5"/>
        <v>9</v>
      </c>
      <c r="B48" t="str">
        <f t="shared" si="0"/>
        <v>vstacks_ts_12~0003</v>
      </c>
      <c r="C48" t="str">
        <f t="shared" si="1"/>
        <v>c 2 deg (67%).iTS12</v>
      </c>
      <c r="H48" t="str">
        <f t="shared" si="2"/>
        <v>c 2 deg (67%).iTS12</v>
      </c>
      <c r="I48" t="str">
        <f t="shared" si="6"/>
        <v>c 2 deg (67%)</v>
      </c>
      <c r="J48" t="str">
        <f t="shared" si="3"/>
        <v>iTS12</v>
      </c>
      <c r="O48">
        <f t="shared" si="7"/>
        <v>3</v>
      </c>
      <c r="Q48" t="str">
        <f t="shared" si="4"/>
        <v>iTS12</v>
      </c>
    </row>
    <row r="49" spans="1:17">
      <c r="A49">
        <f t="shared" si="5"/>
        <v>9</v>
      </c>
      <c r="B49" t="str">
        <f t="shared" si="0"/>
        <v>vstacks_ts_12~0004</v>
      </c>
      <c r="C49" t="str">
        <f t="shared" si="1"/>
        <v>b 2 deg (50%).iTS12</v>
      </c>
      <c r="H49" t="str">
        <f t="shared" si="2"/>
        <v>b 2 deg (50%).iTS12</v>
      </c>
      <c r="I49" t="str">
        <f t="shared" si="6"/>
        <v>b 2 deg (50%)</v>
      </c>
      <c r="J49" t="str">
        <f t="shared" si="3"/>
        <v>iTS12</v>
      </c>
      <c r="O49">
        <f t="shared" si="7"/>
        <v>4</v>
      </c>
      <c r="Q49" t="str">
        <f t="shared" si="4"/>
        <v>iTS12</v>
      </c>
    </row>
    <row r="50" spans="1:17">
      <c r="A50">
        <f t="shared" si="5"/>
        <v>9</v>
      </c>
      <c r="B50" t="str">
        <f t="shared" si="0"/>
        <v>vstacks_ts_12~0005</v>
      </c>
      <c r="C50" t="str">
        <f t="shared" si="1"/>
        <v>a 3 deg.iTS12</v>
      </c>
      <c r="H50" t="str">
        <f t="shared" si="2"/>
        <v>a 3 deg.iTS12</v>
      </c>
      <c r="I50" t="str">
        <f t="shared" si="6"/>
        <v>a 3 deg</v>
      </c>
      <c r="J50" t="str">
        <f t="shared" si="3"/>
        <v>iTS12</v>
      </c>
      <c r="O50">
        <f t="shared" si="7"/>
        <v>5</v>
      </c>
      <c r="Q50" t="str">
        <f t="shared" si="4"/>
        <v>iTS12</v>
      </c>
    </row>
    <row r="51" spans="1:17">
      <c r="A51">
        <f t="shared" si="5"/>
        <v>10</v>
      </c>
      <c r="B51" t="str">
        <f t="shared" si="0"/>
        <v>vstacks_ts_annual~0001</v>
      </c>
      <c r="C51" t="str">
        <f t="shared" si="1"/>
        <v>e 1.5 deg no OS.jAnn</v>
      </c>
      <c r="H51" t="str">
        <f t="shared" si="2"/>
        <v>e 1.5 deg no OS.jAnn</v>
      </c>
      <c r="I51" t="str">
        <f t="shared" si="6"/>
        <v>e 1.5 deg no OS</v>
      </c>
      <c r="J51" t="str">
        <f t="shared" si="3"/>
        <v>jAnn</v>
      </c>
      <c r="O51">
        <f t="shared" si="7"/>
        <v>1</v>
      </c>
      <c r="Q51" t="str">
        <f t="shared" si="4"/>
        <v>jAnn</v>
      </c>
    </row>
    <row r="52" spans="1:17">
      <c r="A52">
        <f t="shared" si="5"/>
        <v>10</v>
      </c>
      <c r="B52" t="str">
        <f t="shared" si="0"/>
        <v>vstacks_ts_annual~0002</v>
      </c>
      <c r="C52" t="str">
        <f t="shared" si="1"/>
        <v>d 1.5 deg OS.jAnn</v>
      </c>
      <c r="H52" t="str">
        <f t="shared" si="2"/>
        <v>d 1.5 deg OS.jAnn</v>
      </c>
      <c r="I52" t="str">
        <f t="shared" si="6"/>
        <v>d 1.5 deg OS</v>
      </c>
      <c r="J52" t="str">
        <f t="shared" si="3"/>
        <v>jAnn</v>
      </c>
      <c r="O52">
        <f t="shared" si="7"/>
        <v>2</v>
      </c>
      <c r="Q52" t="str">
        <f t="shared" si="4"/>
        <v>jAnn</v>
      </c>
    </row>
    <row r="53" spans="1:17">
      <c r="A53">
        <f t="shared" si="5"/>
        <v>10</v>
      </c>
      <c r="B53" t="str">
        <f t="shared" si="0"/>
        <v>vstacks_ts_annual~0003</v>
      </c>
      <c r="C53" t="str">
        <f t="shared" si="1"/>
        <v>c 2 deg (67%).jAnn</v>
      </c>
      <c r="H53" t="str">
        <f t="shared" si="2"/>
        <v>c 2 deg (67%).jAnn</v>
      </c>
      <c r="I53" t="str">
        <f t="shared" si="6"/>
        <v>c 2 deg (67%)</v>
      </c>
      <c r="J53" t="str">
        <f t="shared" si="3"/>
        <v>jAnn</v>
      </c>
      <c r="O53">
        <f t="shared" si="7"/>
        <v>3</v>
      </c>
      <c r="Q53" t="str">
        <f t="shared" si="4"/>
        <v>jAnn</v>
      </c>
    </row>
    <row r="54" spans="1:17">
      <c r="A54">
        <f t="shared" si="5"/>
        <v>10</v>
      </c>
      <c r="B54" t="str">
        <f t="shared" si="0"/>
        <v>vstacks_ts_annual~0004</v>
      </c>
      <c r="C54" t="str">
        <f t="shared" si="1"/>
        <v>b 2 deg (50%).jAnn</v>
      </c>
      <c r="H54" t="str">
        <f t="shared" si="2"/>
        <v>b 2 deg (50%).jAnn</v>
      </c>
      <c r="I54" t="str">
        <f t="shared" si="6"/>
        <v>b 2 deg (50%)</v>
      </c>
      <c r="J54" t="str">
        <f t="shared" si="3"/>
        <v>jAnn</v>
      </c>
      <c r="O54">
        <f t="shared" si="7"/>
        <v>4</v>
      </c>
      <c r="Q54" t="str">
        <f t="shared" si="4"/>
        <v>jAnn</v>
      </c>
    </row>
    <row r="55" spans="1:17">
      <c r="A55">
        <f t="shared" si="5"/>
        <v>10</v>
      </c>
      <c r="B55" t="str">
        <f t="shared" si="0"/>
        <v>vstacks_ts_annual~0005</v>
      </c>
      <c r="C55" t="str">
        <f t="shared" si="1"/>
        <v>a 3 deg.jAnn</v>
      </c>
      <c r="H55" t="str">
        <f t="shared" si="2"/>
        <v>a 3 deg.jAnn</v>
      </c>
      <c r="I55" t="str">
        <f t="shared" si="6"/>
        <v>a 3 deg</v>
      </c>
      <c r="J55" t="str">
        <f t="shared" si="3"/>
        <v>jAnn</v>
      </c>
      <c r="O55">
        <f t="shared" si="7"/>
        <v>5</v>
      </c>
      <c r="Q55" t="str">
        <f t="shared" si="4"/>
        <v>jAnn</v>
      </c>
    </row>
    <row r="56" spans="1:17">
      <c r="A56">
        <f t="shared" si="5"/>
        <v>11</v>
      </c>
      <c r="B56" t="str">
        <f t="shared" si="0"/>
        <v>vstacks_s1_d~0001</v>
      </c>
      <c r="C56" t="str">
        <f t="shared" si="1"/>
        <v>e 1.5 deg no OS.f3d</v>
      </c>
      <c r="H56" t="str">
        <f t="shared" si="2"/>
        <v>e 1.5 deg no OS.f3d</v>
      </c>
      <c r="I56" t="str">
        <f t="shared" si="6"/>
        <v>e 1.5 deg no OS</v>
      </c>
      <c r="J56" t="str">
        <f t="shared" si="3"/>
        <v>f3d</v>
      </c>
      <c r="O56">
        <f t="shared" si="7"/>
        <v>1</v>
      </c>
      <c r="Q56" t="str">
        <f t="shared" si="4"/>
        <v>f3d</v>
      </c>
    </row>
    <row r="57" spans="1:17">
      <c r="A57">
        <f t="shared" si="5"/>
        <v>11</v>
      </c>
      <c r="B57" t="str">
        <f t="shared" si="0"/>
        <v>vstacks_s1_d~0002</v>
      </c>
      <c r="C57" t="str">
        <f t="shared" si="1"/>
        <v>d 1.5 deg OS.f3d</v>
      </c>
      <c r="H57" t="str">
        <f t="shared" si="2"/>
        <v>d 1.5 deg OS.f3d</v>
      </c>
      <c r="I57" t="str">
        <f t="shared" si="6"/>
        <v>d 1.5 deg OS</v>
      </c>
      <c r="J57" t="str">
        <f t="shared" si="3"/>
        <v>f3d</v>
      </c>
      <c r="O57">
        <f t="shared" si="7"/>
        <v>2</v>
      </c>
      <c r="Q57" t="str">
        <f t="shared" si="4"/>
        <v>f3d</v>
      </c>
    </row>
    <row r="58" spans="1:17">
      <c r="A58">
        <f t="shared" si="5"/>
        <v>11</v>
      </c>
      <c r="B58" t="str">
        <f t="shared" si="0"/>
        <v>vstacks_s1_d~0003</v>
      </c>
      <c r="C58" t="str">
        <f t="shared" si="1"/>
        <v>c 2 deg (67%).f3d</v>
      </c>
      <c r="H58" t="str">
        <f t="shared" si="2"/>
        <v>c 2 deg (67%).f3d</v>
      </c>
      <c r="I58" t="str">
        <f t="shared" si="6"/>
        <v>c 2 deg (67%)</v>
      </c>
      <c r="J58" t="str">
        <f t="shared" si="3"/>
        <v>f3d</v>
      </c>
      <c r="O58">
        <f t="shared" si="7"/>
        <v>3</v>
      </c>
      <c r="Q58" t="str">
        <f t="shared" si="4"/>
        <v>f3d</v>
      </c>
    </row>
    <row r="59" spans="1:17">
      <c r="A59">
        <f t="shared" si="5"/>
        <v>11</v>
      </c>
      <c r="B59" t="str">
        <f t="shared" si="0"/>
        <v>vstacks_s1_d~0004</v>
      </c>
      <c r="C59" t="str">
        <f t="shared" si="1"/>
        <v>b 2 deg (50%).f3d</v>
      </c>
      <c r="H59" t="str">
        <f t="shared" si="2"/>
        <v>b 2 deg (50%).f3d</v>
      </c>
      <c r="I59" t="str">
        <f t="shared" si="6"/>
        <v>b 2 deg (50%)</v>
      </c>
      <c r="J59" t="str">
        <f t="shared" si="3"/>
        <v>f3d</v>
      </c>
      <c r="O59">
        <f t="shared" si="7"/>
        <v>4</v>
      </c>
      <c r="Q59" t="str">
        <f t="shared" si="4"/>
        <v>f3d</v>
      </c>
    </row>
    <row r="60" spans="1:17">
      <c r="A60">
        <f t="shared" si="5"/>
        <v>11</v>
      </c>
      <c r="B60" t="str">
        <f t="shared" si="0"/>
        <v>vstacks_s1_d~0005</v>
      </c>
      <c r="C60" t="str">
        <f t="shared" si="1"/>
        <v>a 3 deg.f3d</v>
      </c>
      <c r="H60" t="str">
        <f t="shared" si="2"/>
        <v>a 3 deg.f3d</v>
      </c>
      <c r="I60" t="str">
        <f t="shared" si="6"/>
        <v>a 3 deg</v>
      </c>
      <c r="J60" t="str">
        <f t="shared" si="3"/>
        <v>f3d</v>
      </c>
      <c r="O60">
        <f t="shared" si="7"/>
        <v>5</v>
      </c>
      <c r="Q60" t="str">
        <f t="shared" si="4"/>
        <v>f3d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>
      <selection activeCell="A12" sqref="A12"/>
    </sheetView>
  </sheetViews>
  <sheetFormatPr defaultColWidth="14.7109375" defaultRowHeight="15"/>
  <cols>
    <col min="1" max="1" width="2.7109375" bestFit="1" customWidth="1"/>
    <col min="2" max="2" width="19.85546875" bestFit="1" customWidth="1"/>
    <col min="3" max="3" width="19.5703125" bestFit="1" customWidth="1"/>
    <col min="4" max="4" width="10.5703125" bestFit="1" customWidth="1"/>
    <col min="5" max="5" width="5" bestFit="1" customWidth="1"/>
    <col min="8" max="8" width="19.5703125" bestFit="1" customWidth="1"/>
    <col min="9" max="9" width="15.5703125" bestFit="1" customWidth="1"/>
    <col min="10" max="10" width="10.28515625" bestFit="1" customWidth="1"/>
    <col min="14" max="14" width="6.5703125" bestFit="1" customWidth="1"/>
    <col min="15" max="15" width="19.140625" bestFit="1" customWidth="1"/>
    <col min="16" max="16" width="7" bestFit="1" customWidth="1"/>
    <col min="17" max="17" width="9.7109375" bestFit="1" customWidth="1"/>
    <col min="18" max="18" width="6.5703125" bestFit="1" customWidth="1"/>
    <col min="19" max="19" width="2.7109375" bestFit="1" customWidth="1"/>
    <col min="20" max="20" width="9.7109375" bestFit="1" customWidth="1"/>
    <col min="21" max="21" width="6.28515625" bestFit="1" customWidth="1"/>
    <col min="22" max="22" width="6.28515625" customWidth="1"/>
    <col min="23" max="23" width="2.7109375" bestFit="1" customWidth="1"/>
    <col min="24" max="24" width="13" bestFit="1" customWidth="1"/>
  </cols>
  <sheetData>
    <row r="1" spans="2:24">
      <c r="I1" t="s">
        <v>37</v>
      </c>
    </row>
    <row r="2" spans="2:24">
      <c r="I2" t="s">
        <v>260</v>
      </c>
      <c r="J2" t="s">
        <v>124</v>
      </c>
    </row>
    <row r="4" spans="2:24">
      <c r="B4" t="s">
        <v>62</v>
      </c>
      <c r="H4" t="s">
        <v>63</v>
      </c>
      <c r="O4" t="s">
        <v>295</v>
      </c>
    </row>
    <row r="5" spans="2:24">
      <c r="B5" t="s">
        <v>20</v>
      </c>
      <c r="C5" t="s">
        <v>2</v>
      </c>
      <c r="D5" t="s">
        <v>1</v>
      </c>
      <c r="E5" t="s">
        <v>10</v>
      </c>
      <c r="H5" t="s">
        <v>9</v>
      </c>
      <c r="I5" t="str">
        <f>"sg_"&amp;I2</f>
        <v>sg_ar6_r10</v>
      </c>
      <c r="J5" t="str">
        <f>"sg_"&amp;J2</f>
        <v>sg_timeslice</v>
      </c>
      <c r="N5" t="s">
        <v>296</v>
      </c>
      <c r="O5" t="s">
        <v>297</v>
      </c>
      <c r="P5" t="s">
        <v>298</v>
      </c>
      <c r="Q5" t="s">
        <v>124</v>
      </c>
      <c r="R5" t="s">
        <v>299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250</v>
      </c>
      <c r="N6">
        <v>5</v>
      </c>
      <c r="O6" t="s">
        <v>300</v>
      </c>
      <c r="P6">
        <v>1</v>
      </c>
      <c r="Q6" t="s">
        <v>238</v>
      </c>
      <c r="R6" t="s">
        <v>284</v>
      </c>
      <c r="T6" t="s">
        <v>238</v>
      </c>
      <c r="U6" t="s">
        <v>378</v>
      </c>
      <c r="W6" t="s">
        <v>284</v>
      </c>
      <c r="X6" t="s">
        <v>258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251</v>
      </c>
      <c r="N7">
        <v>5</v>
      </c>
      <c r="O7" t="s">
        <v>301</v>
      </c>
      <c r="P7">
        <v>2</v>
      </c>
      <c r="Q7" t="s">
        <v>238</v>
      </c>
      <c r="R7" t="s">
        <v>285</v>
      </c>
      <c r="T7" t="s">
        <v>306</v>
      </c>
      <c r="U7" t="s">
        <v>379</v>
      </c>
      <c r="W7" t="s">
        <v>285</v>
      </c>
      <c r="X7" t="s">
        <v>257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252</v>
      </c>
      <c r="N8">
        <v>5</v>
      </c>
      <c r="O8" t="s">
        <v>302</v>
      </c>
      <c r="P8">
        <v>3</v>
      </c>
      <c r="Q8" t="s">
        <v>238</v>
      </c>
      <c r="R8" t="s">
        <v>286</v>
      </c>
      <c r="T8" t="s">
        <v>312</v>
      </c>
      <c r="U8" t="s">
        <v>380</v>
      </c>
      <c r="W8" t="s">
        <v>286</v>
      </c>
      <c r="X8" t="s">
        <v>256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253</v>
      </c>
      <c r="N9">
        <v>5</v>
      </c>
      <c r="O9" t="s">
        <v>303</v>
      </c>
      <c r="P9">
        <v>4</v>
      </c>
      <c r="Q9" t="s">
        <v>238</v>
      </c>
      <c r="R9" t="s">
        <v>287</v>
      </c>
      <c r="T9" t="s">
        <v>318</v>
      </c>
      <c r="U9" t="s">
        <v>381</v>
      </c>
      <c r="W9" t="s">
        <v>287</v>
      </c>
      <c r="X9" t="s">
        <v>255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254</v>
      </c>
      <c r="N10">
        <v>5</v>
      </c>
      <c r="O10" t="s">
        <v>304</v>
      </c>
      <c r="P10">
        <v>5</v>
      </c>
      <c r="Q10" t="s">
        <v>238</v>
      </c>
      <c r="R10" t="s">
        <v>288</v>
      </c>
      <c r="T10" t="s">
        <v>324</v>
      </c>
      <c r="U10" t="s">
        <v>382</v>
      </c>
      <c r="W10" t="s">
        <v>288</v>
      </c>
      <c r="X10" t="s">
        <v>259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305</v>
      </c>
      <c r="P11">
        <v>6</v>
      </c>
      <c r="Q11" t="s">
        <v>306</v>
      </c>
      <c r="R11" t="s">
        <v>284</v>
      </c>
      <c r="T11" t="s">
        <v>330</v>
      </c>
      <c r="U11" t="s">
        <v>383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307</v>
      </c>
      <c r="P12">
        <v>7</v>
      </c>
      <c r="Q12" t="s">
        <v>306</v>
      </c>
      <c r="R12" t="s">
        <v>285</v>
      </c>
      <c r="T12" t="s">
        <v>336</v>
      </c>
      <c r="U12" t="s">
        <v>386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308</v>
      </c>
      <c r="P13">
        <v>8</v>
      </c>
      <c r="Q13" t="s">
        <v>306</v>
      </c>
      <c r="R13" t="s">
        <v>286</v>
      </c>
      <c r="T13" t="s">
        <v>342</v>
      </c>
      <c r="U13" t="s">
        <v>384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309</v>
      </c>
      <c r="P14">
        <v>9</v>
      </c>
      <c r="Q14" t="s">
        <v>306</v>
      </c>
      <c r="R14" t="s">
        <v>287</v>
      </c>
      <c r="T14" t="s">
        <v>348</v>
      </c>
      <c r="U14" t="s">
        <v>385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310</v>
      </c>
      <c r="P15">
        <v>10</v>
      </c>
      <c r="Q15" t="s">
        <v>306</v>
      </c>
      <c r="R15" t="s">
        <v>288</v>
      </c>
      <c r="T15" t="s">
        <v>230</v>
      </c>
      <c r="U15" t="s">
        <v>244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311</v>
      </c>
      <c r="P16">
        <v>11</v>
      </c>
      <c r="Q16" t="s">
        <v>312</v>
      </c>
      <c r="R16" t="s">
        <v>284</v>
      </c>
      <c r="T16" t="s">
        <v>231</v>
      </c>
      <c r="U16" t="s">
        <v>241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313</v>
      </c>
      <c r="P17">
        <v>12</v>
      </c>
      <c r="Q17" t="s">
        <v>312</v>
      </c>
      <c r="R17" t="s">
        <v>285</v>
      </c>
      <c r="T17" t="s">
        <v>237</v>
      </c>
      <c r="U17" t="s">
        <v>243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314</v>
      </c>
      <c r="P18">
        <v>13</v>
      </c>
      <c r="Q18" t="s">
        <v>312</v>
      </c>
      <c r="R18" t="s">
        <v>286</v>
      </c>
      <c r="T18" t="s">
        <v>232</v>
      </c>
      <c r="U18" t="s">
        <v>242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315</v>
      </c>
      <c r="P19">
        <v>14</v>
      </c>
      <c r="Q19" t="s">
        <v>312</v>
      </c>
      <c r="R19" t="s">
        <v>287</v>
      </c>
      <c r="T19" t="s">
        <v>233</v>
      </c>
      <c r="U19" t="s">
        <v>240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316</v>
      </c>
      <c r="P20">
        <v>15</v>
      </c>
      <c r="Q20" t="s">
        <v>312</v>
      </c>
      <c r="R20" t="s">
        <v>288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317</v>
      </c>
      <c r="P21">
        <v>16</v>
      </c>
      <c r="Q21" t="s">
        <v>318</v>
      </c>
      <c r="R21" t="s">
        <v>284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319</v>
      </c>
      <c r="P22">
        <v>17</v>
      </c>
      <c r="Q22" t="s">
        <v>318</v>
      </c>
      <c r="R22" t="s">
        <v>285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320</v>
      </c>
      <c r="P23">
        <v>18</v>
      </c>
      <c r="Q23" t="s">
        <v>318</v>
      </c>
      <c r="R23" t="s">
        <v>286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321</v>
      </c>
      <c r="P24">
        <v>19</v>
      </c>
      <c r="Q24" t="s">
        <v>318</v>
      </c>
      <c r="R24" t="s">
        <v>287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322</v>
      </c>
      <c r="P25">
        <v>20</v>
      </c>
      <c r="Q25" t="s">
        <v>318</v>
      </c>
      <c r="R25" t="s">
        <v>288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323</v>
      </c>
      <c r="P26">
        <v>21</v>
      </c>
      <c r="Q26" t="s">
        <v>324</v>
      </c>
      <c r="R26" t="s">
        <v>284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325</v>
      </c>
      <c r="P27">
        <v>22</v>
      </c>
      <c r="Q27" t="s">
        <v>324</v>
      </c>
      <c r="R27" t="s">
        <v>285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326</v>
      </c>
      <c r="P28">
        <v>23</v>
      </c>
      <c r="Q28" t="s">
        <v>324</v>
      </c>
      <c r="R28" t="s">
        <v>286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327</v>
      </c>
      <c r="P29">
        <v>24</v>
      </c>
      <c r="Q29" t="s">
        <v>324</v>
      </c>
      <c r="R29" t="s">
        <v>287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328</v>
      </c>
      <c r="P30">
        <v>25</v>
      </c>
      <c r="Q30" t="s">
        <v>324</v>
      </c>
      <c r="R30" t="s">
        <v>288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329</v>
      </c>
      <c r="P31">
        <v>26</v>
      </c>
      <c r="Q31" t="s">
        <v>330</v>
      </c>
      <c r="R31" t="s">
        <v>284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331</v>
      </c>
      <c r="P32">
        <v>27</v>
      </c>
      <c r="Q32" t="s">
        <v>330</v>
      </c>
      <c r="R32" t="s">
        <v>285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332</v>
      </c>
      <c r="P33">
        <v>28</v>
      </c>
      <c r="Q33" t="s">
        <v>330</v>
      </c>
      <c r="R33" t="s">
        <v>286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333</v>
      </c>
      <c r="P34">
        <v>29</v>
      </c>
      <c r="Q34" t="s">
        <v>330</v>
      </c>
      <c r="R34" t="s">
        <v>287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334</v>
      </c>
      <c r="P35">
        <v>30</v>
      </c>
      <c r="Q35" t="s">
        <v>330</v>
      </c>
      <c r="R35" t="s">
        <v>288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335</v>
      </c>
      <c r="P36">
        <v>31</v>
      </c>
      <c r="Q36" t="s">
        <v>336</v>
      </c>
      <c r="R36" t="s">
        <v>284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337</v>
      </c>
      <c r="P37">
        <v>32</v>
      </c>
      <c r="Q37" t="s">
        <v>336</v>
      </c>
      <c r="R37" t="s">
        <v>285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338</v>
      </c>
      <c r="P38">
        <v>33</v>
      </c>
      <c r="Q38" t="s">
        <v>336</v>
      </c>
      <c r="R38" t="s">
        <v>286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339</v>
      </c>
      <c r="P39">
        <v>34</v>
      </c>
      <c r="Q39" t="s">
        <v>336</v>
      </c>
      <c r="R39" t="s">
        <v>287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340</v>
      </c>
      <c r="P40">
        <v>35</v>
      </c>
      <c r="Q40" t="s">
        <v>336</v>
      </c>
      <c r="R40" t="s">
        <v>288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341</v>
      </c>
      <c r="P41">
        <v>36</v>
      </c>
      <c r="Q41" t="s">
        <v>342</v>
      </c>
      <c r="R41" t="s">
        <v>284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343</v>
      </c>
      <c r="P42">
        <v>37</v>
      </c>
      <c r="Q42" t="s">
        <v>342</v>
      </c>
      <c r="R42" t="s">
        <v>285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344</v>
      </c>
      <c r="P43">
        <v>38</v>
      </c>
      <c r="Q43" t="s">
        <v>342</v>
      </c>
      <c r="R43" t="s">
        <v>286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345</v>
      </c>
      <c r="P44">
        <v>39</v>
      </c>
      <c r="Q44" t="s">
        <v>342</v>
      </c>
      <c r="R44" t="s">
        <v>287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346</v>
      </c>
      <c r="P45">
        <v>40</v>
      </c>
      <c r="Q45" t="s">
        <v>342</v>
      </c>
      <c r="R45" t="s">
        <v>288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347</v>
      </c>
      <c r="P46">
        <v>41</v>
      </c>
      <c r="Q46" t="s">
        <v>348</v>
      </c>
      <c r="R46" t="s">
        <v>284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349</v>
      </c>
      <c r="P47">
        <v>42</v>
      </c>
      <c r="Q47" t="s">
        <v>348</v>
      </c>
      <c r="R47" t="s">
        <v>285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350</v>
      </c>
      <c r="P48">
        <v>43</v>
      </c>
      <c r="Q48" t="s">
        <v>348</v>
      </c>
      <c r="R48" t="s">
        <v>286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351</v>
      </c>
      <c r="P49">
        <v>44</v>
      </c>
      <c r="Q49" t="s">
        <v>348</v>
      </c>
      <c r="R49" t="s">
        <v>287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352</v>
      </c>
      <c r="P50">
        <v>45</v>
      </c>
      <c r="Q50" t="s">
        <v>348</v>
      </c>
      <c r="R50" t="s">
        <v>288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353</v>
      </c>
      <c r="P51">
        <v>46</v>
      </c>
      <c r="Q51" t="s">
        <v>230</v>
      </c>
      <c r="R51" t="s">
        <v>284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354</v>
      </c>
      <c r="P52">
        <v>47</v>
      </c>
      <c r="Q52" t="s">
        <v>230</v>
      </c>
      <c r="R52" t="s">
        <v>285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355</v>
      </c>
      <c r="P53">
        <v>48</v>
      </c>
      <c r="Q53" t="s">
        <v>230</v>
      </c>
      <c r="R53" t="s">
        <v>286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356</v>
      </c>
      <c r="P54">
        <v>49</v>
      </c>
      <c r="Q54" t="s">
        <v>230</v>
      </c>
      <c r="R54" t="s">
        <v>287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357</v>
      </c>
      <c r="P55">
        <v>50</v>
      </c>
      <c r="Q55" t="s">
        <v>230</v>
      </c>
      <c r="R55" t="s">
        <v>288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358</v>
      </c>
      <c r="P56">
        <v>51</v>
      </c>
      <c r="Q56" t="s">
        <v>231</v>
      </c>
      <c r="R56" t="s">
        <v>284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359</v>
      </c>
      <c r="P57">
        <v>52</v>
      </c>
      <c r="Q57" t="s">
        <v>231</v>
      </c>
      <c r="R57" t="s">
        <v>285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360</v>
      </c>
      <c r="P58">
        <v>53</v>
      </c>
      <c r="Q58" t="s">
        <v>231</v>
      </c>
      <c r="R58" t="s">
        <v>286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361</v>
      </c>
      <c r="P59">
        <v>54</v>
      </c>
      <c r="Q59" t="s">
        <v>231</v>
      </c>
      <c r="R59" t="s">
        <v>287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362</v>
      </c>
      <c r="P60">
        <v>55</v>
      </c>
      <c r="Q60" t="s">
        <v>231</v>
      </c>
      <c r="R60" t="s">
        <v>288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363</v>
      </c>
      <c r="P61">
        <v>56</v>
      </c>
      <c r="Q61" t="s">
        <v>237</v>
      </c>
      <c r="R61" t="s">
        <v>284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364</v>
      </c>
      <c r="P62">
        <v>57</v>
      </c>
      <c r="Q62" t="s">
        <v>237</v>
      </c>
      <c r="R62" t="s">
        <v>285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365</v>
      </c>
      <c r="P63">
        <v>58</v>
      </c>
      <c r="Q63" t="s">
        <v>237</v>
      </c>
      <c r="R63" t="s">
        <v>286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366</v>
      </c>
      <c r="P64">
        <v>59</v>
      </c>
      <c r="Q64" t="s">
        <v>237</v>
      </c>
      <c r="R64" t="s">
        <v>287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367</v>
      </c>
      <c r="P65">
        <v>60</v>
      </c>
      <c r="Q65" t="s">
        <v>237</v>
      </c>
      <c r="R65" t="s">
        <v>288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368</v>
      </c>
      <c r="P66">
        <v>61</v>
      </c>
      <c r="Q66" t="s">
        <v>232</v>
      </c>
      <c r="R66" t="s">
        <v>284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369</v>
      </c>
      <c r="P67">
        <v>62</v>
      </c>
      <c r="Q67" t="s">
        <v>232</v>
      </c>
      <c r="R67" t="s">
        <v>285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370</v>
      </c>
      <c r="P68">
        <v>63</v>
      </c>
      <c r="Q68" t="s">
        <v>232</v>
      </c>
      <c r="R68" t="s">
        <v>286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371</v>
      </c>
      <c r="P69">
        <v>64</v>
      </c>
      <c r="Q69" t="s">
        <v>232</v>
      </c>
      <c r="R69" t="s">
        <v>287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372</v>
      </c>
      <c r="P70">
        <v>65</v>
      </c>
      <c r="Q70" t="s">
        <v>232</v>
      </c>
      <c r="R70" t="s">
        <v>288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373</v>
      </c>
      <c r="P71">
        <v>66</v>
      </c>
      <c r="Q71" t="s">
        <v>233</v>
      </c>
      <c r="R71" t="s">
        <v>284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374</v>
      </c>
      <c r="P72">
        <v>67</v>
      </c>
      <c r="Q72" t="s">
        <v>233</v>
      </c>
      <c r="R72" t="s">
        <v>285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375</v>
      </c>
      <c r="P73">
        <v>68</v>
      </c>
      <c r="Q73" t="s">
        <v>233</v>
      </c>
      <c r="R73" t="s">
        <v>286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376</v>
      </c>
      <c r="P74">
        <v>69</v>
      </c>
      <c r="Q74" t="s">
        <v>233</v>
      </c>
      <c r="R74" t="s">
        <v>287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377</v>
      </c>
      <c r="P75">
        <v>70</v>
      </c>
      <c r="Q75" t="s">
        <v>233</v>
      </c>
      <c r="R75" t="s">
        <v>288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B6CDE-608F-4316-9D2F-FCFA6B7BD309}">
  <dimension ref="B9:H144"/>
  <sheetViews>
    <sheetView tabSelected="1" workbookViewId="0"/>
  </sheetViews>
  <sheetFormatPr defaultRowHeight="15"/>
  <sheetData>
    <row r="9" spans="2:8">
      <c r="B9" t="s">
        <v>693</v>
      </c>
      <c r="F9" t="s">
        <v>693</v>
      </c>
    </row>
    <row r="10" spans="2:8">
      <c r="B10" t="s">
        <v>694</v>
      </c>
      <c r="C10" t="s">
        <v>695</v>
      </c>
      <c r="D10" t="s">
        <v>696</v>
      </c>
      <c r="F10" t="s">
        <v>694</v>
      </c>
      <c r="G10" t="s">
        <v>695</v>
      </c>
      <c r="H10" t="s">
        <v>696</v>
      </c>
    </row>
    <row r="11" spans="2:8">
      <c r="B11" t="s">
        <v>424</v>
      </c>
      <c r="C11">
        <v>41.554830439294292</v>
      </c>
      <c r="D11">
        <v>13.14409811197323</v>
      </c>
      <c r="F11" t="s">
        <v>697</v>
      </c>
      <c r="G11">
        <v>41.554830439294292</v>
      </c>
      <c r="H11">
        <v>13.14409811197323</v>
      </c>
    </row>
    <row r="12" spans="2:8">
      <c r="B12" t="s">
        <v>425</v>
      </c>
      <c r="C12">
        <v>45.136095428689821</v>
      </c>
      <c r="D12">
        <v>8.8792758668484755</v>
      </c>
      <c r="F12" t="s">
        <v>698</v>
      </c>
      <c r="G12">
        <v>45.136095428689821</v>
      </c>
      <c r="H12">
        <v>8.8792758668484755</v>
      </c>
    </row>
    <row r="13" spans="2:8">
      <c r="B13" t="s">
        <v>426</v>
      </c>
      <c r="C13">
        <v>37.694470425734202</v>
      </c>
      <c r="D13">
        <v>14.355204238965404</v>
      </c>
      <c r="F13" t="s">
        <v>699</v>
      </c>
      <c r="G13">
        <v>37.694470425734202</v>
      </c>
      <c r="H13">
        <v>14.355204238965404</v>
      </c>
    </row>
    <row r="14" spans="2:8">
      <c r="B14" t="s">
        <v>427</v>
      </c>
      <c r="C14">
        <v>44.730439246010981</v>
      </c>
      <c r="D14">
        <v>11.543990376381304</v>
      </c>
      <c r="F14" t="s">
        <v>700</v>
      </c>
      <c r="G14">
        <v>44.730439246010981</v>
      </c>
      <c r="H14">
        <v>11.543990376381304</v>
      </c>
    </row>
    <row r="15" spans="2:8">
      <c r="B15" t="s">
        <v>428</v>
      </c>
      <c r="C15">
        <v>40.64169937344969</v>
      </c>
      <c r="D15">
        <v>16.764318892727413</v>
      </c>
      <c r="F15" t="s">
        <v>701</v>
      </c>
      <c r="G15">
        <v>40.64169937344969</v>
      </c>
      <c r="H15">
        <v>16.764318892727413</v>
      </c>
    </row>
    <row r="16" spans="2:8">
      <c r="B16" t="s">
        <v>429</v>
      </c>
      <c r="C16">
        <v>40.626876622474327</v>
      </c>
      <c r="D16">
        <v>16.524034436605639</v>
      </c>
      <c r="F16" t="s">
        <v>702</v>
      </c>
      <c r="G16">
        <v>40.626876622474327</v>
      </c>
      <c r="H16">
        <v>16.524034436605639</v>
      </c>
    </row>
    <row r="17" spans="2:8">
      <c r="B17" t="s">
        <v>430</v>
      </c>
      <c r="C17">
        <v>43.613081737538089</v>
      </c>
      <c r="D17">
        <v>12.432057162183453</v>
      </c>
      <c r="F17" t="s">
        <v>703</v>
      </c>
      <c r="G17">
        <v>43.613081737538089</v>
      </c>
      <c r="H17">
        <v>12.432057162183453</v>
      </c>
    </row>
    <row r="18" spans="2:8">
      <c r="B18" t="s">
        <v>431</v>
      </c>
      <c r="C18">
        <v>37.532569253259773</v>
      </c>
      <c r="D18">
        <v>13.561509218191066</v>
      </c>
      <c r="F18" t="s">
        <v>704</v>
      </c>
      <c r="G18">
        <v>37.532569253259773</v>
      </c>
      <c r="H18">
        <v>13.561509218191066</v>
      </c>
    </row>
    <row r="19" spans="2:8">
      <c r="B19" t="s">
        <v>432</v>
      </c>
      <c r="C19">
        <v>40.268419547595236</v>
      </c>
      <c r="D19">
        <v>9.1550581841239325</v>
      </c>
      <c r="F19" t="s">
        <v>705</v>
      </c>
      <c r="G19">
        <v>40.268419547595236</v>
      </c>
      <c r="H19">
        <v>9.1550581841239325</v>
      </c>
    </row>
    <row r="20" spans="2:8">
      <c r="B20" t="s">
        <v>433</v>
      </c>
      <c r="C20">
        <v>45.326406601349312</v>
      </c>
      <c r="D20">
        <v>9.4720696965538966</v>
      </c>
      <c r="F20" t="s">
        <v>706</v>
      </c>
      <c r="G20">
        <v>45.326406601349312</v>
      </c>
      <c r="H20">
        <v>9.4720696965538966</v>
      </c>
    </row>
    <row r="21" spans="2:8">
      <c r="B21" t="s">
        <v>434</v>
      </c>
      <c r="C21">
        <v>45.792294916811187</v>
      </c>
      <c r="D21">
        <v>8.6745541460605047</v>
      </c>
      <c r="F21" t="s">
        <v>707</v>
      </c>
      <c r="G21">
        <v>45.792294916811187</v>
      </c>
      <c r="H21">
        <v>8.6745541460605047</v>
      </c>
    </row>
    <row r="22" spans="2:8">
      <c r="B22" t="s">
        <v>435</v>
      </c>
      <c r="C22">
        <v>45.138384716333071</v>
      </c>
      <c r="D22">
        <v>8.4589288686440245</v>
      </c>
      <c r="F22" t="s">
        <v>708</v>
      </c>
      <c r="G22">
        <v>45.138384716333071</v>
      </c>
      <c r="H22">
        <v>8.4589288686440245</v>
      </c>
    </row>
    <row r="23" spans="2:8">
      <c r="B23" t="s">
        <v>436</v>
      </c>
      <c r="C23">
        <v>43.98996109117364</v>
      </c>
      <c r="D23">
        <v>7.9701340692714062</v>
      </c>
      <c r="F23" t="s">
        <v>709</v>
      </c>
      <c r="G23">
        <v>43.98996109117364</v>
      </c>
      <c r="H23">
        <v>7.9701340692714062</v>
      </c>
    </row>
    <row r="24" spans="2:8">
      <c r="B24" t="s">
        <v>437</v>
      </c>
      <c r="C24">
        <v>44.834578162520891</v>
      </c>
      <c r="D24">
        <v>7.6019925253863789</v>
      </c>
      <c r="F24" t="s">
        <v>710</v>
      </c>
      <c r="G24">
        <v>44.834578162520891</v>
      </c>
      <c r="H24">
        <v>7.6019925253863789</v>
      </c>
    </row>
    <row r="25" spans="2:8">
      <c r="B25" t="s">
        <v>438</v>
      </c>
      <c r="C25">
        <v>46.687922182347272</v>
      </c>
      <c r="D25">
        <v>10.525755044508506</v>
      </c>
      <c r="F25" t="s">
        <v>711</v>
      </c>
      <c r="G25">
        <v>46.687922182347272</v>
      </c>
      <c r="H25">
        <v>10.525755044508506</v>
      </c>
    </row>
    <row r="26" spans="2:8">
      <c r="B26" t="s">
        <v>439</v>
      </c>
      <c r="C26">
        <v>45.794172225158917</v>
      </c>
      <c r="D26">
        <v>9.4786948282916352</v>
      </c>
      <c r="F26" t="s">
        <v>712</v>
      </c>
      <c r="G26">
        <v>45.794172225158917</v>
      </c>
      <c r="H26">
        <v>9.4786948282916352</v>
      </c>
    </row>
    <row r="27" spans="2:8">
      <c r="B27" t="s">
        <v>440</v>
      </c>
      <c r="C27">
        <v>45.127412153454301</v>
      </c>
      <c r="D27">
        <v>10.161344390619057</v>
      </c>
      <c r="F27" t="s">
        <v>713</v>
      </c>
      <c r="G27">
        <v>45.127412153454301</v>
      </c>
      <c r="H27">
        <v>10.161344390619057</v>
      </c>
    </row>
    <row r="28" spans="2:8">
      <c r="B28" t="s">
        <v>441</v>
      </c>
      <c r="C28">
        <v>42.972887196198457</v>
      </c>
      <c r="D28">
        <v>10.84266322189022</v>
      </c>
      <c r="F28" t="s">
        <v>714</v>
      </c>
      <c r="G28">
        <v>42.972887196198457</v>
      </c>
      <c r="H28">
        <v>10.84266322189022</v>
      </c>
    </row>
    <row r="29" spans="2:8">
      <c r="B29" t="s">
        <v>442</v>
      </c>
      <c r="C29">
        <v>43.639783005492575</v>
      </c>
      <c r="D29">
        <v>10.739410791957109</v>
      </c>
      <c r="F29" t="s">
        <v>715</v>
      </c>
      <c r="G29">
        <v>43.639783005492575</v>
      </c>
      <c r="H29">
        <v>10.739410791957109</v>
      </c>
    </row>
    <row r="30" spans="2:8">
      <c r="B30" t="s">
        <v>443</v>
      </c>
      <c r="C30">
        <v>40.407255097804487</v>
      </c>
      <c r="D30">
        <v>8.8653874671920914</v>
      </c>
      <c r="F30" t="s">
        <v>716</v>
      </c>
      <c r="G30">
        <v>40.407255097804487</v>
      </c>
      <c r="H30">
        <v>8.8653874671920914</v>
      </c>
    </row>
    <row r="31" spans="2:8">
      <c r="B31" t="s">
        <v>444</v>
      </c>
      <c r="C31">
        <v>39.043699090688662</v>
      </c>
      <c r="D31">
        <v>8.7076828350841513</v>
      </c>
      <c r="F31" t="s">
        <v>717</v>
      </c>
      <c r="G31">
        <v>39.043699090688662</v>
      </c>
      <c r="H31">
        <v>8.7076828350841513</v>
      </c>
    </row>
    <row r="32" spans="2:8">
      <c r="B32" t="s">
        <v>445</v>
      </c>
      <c r="C32">
        <v>37.756793093958471</v>
      </c>
      <c r="D32">
        <v>12.821456429445876</v>
      </c>
      <c r="F32" t="s">
        <v>718</v>
      </c>
      <c r="G32">
        <v>37.756793093958471</v>
      </c>
      <c r="H32">
        <v>12.821456429445876</v>
      </c>
    </row>
    <row r="33" spans="2:8">
      <c r="B33" t="s">
        <v>446</v>
      </c>
      <c r="C33">
        <v>37.194132674353483</v>
      </c>
      <c r="D33">
        <v>14.605436927160916</v>
      </c>
      <c r="F33" t="s">
        <v>719</v>
      </c>
      <c r="G33">
        <v>37.194132674353483</v>
      </c>
      <c r="H33">
        <v>14.605436927160916</v>
      </c>
    </row>
    <row r="34" spans="2:8">
      <c r="B34" t="s">
        <v>447</v>
      </c>
      <c r="C34">
        <v>39.024964018081931</v>
      </c>
      <c r="D34">
        <v>16.508504531186109</v>
      </c>
      <c r="F34" t="s">
        <v>720</v>
      </c>
      <c r="G34">
        <v>39.024964018081931</v>
      </c>
      <c r="H34">
        <v>16.508504531186109</v>
      </c>
    </row>
    <row r="35" spans="2:8">
      <c r="B35" t="s">
        <v>448</v>
      </c>
      <c r="C35">
        <v>40.374426578645007</v>
      </c>
      <c r="D35">
        <v>17.851672738573555</v>
      </c>
      <c r="F35" t="s">
        <v>721</v>
      </c>
      <c r="G35">
        <v>40.374426578645007</v>
      </c>
      <c r="H35">
        <v>17.851672738573555</v>
      </c>
    </row>
    <row r="36" spans="2:8">
      <c r="B36" t="s">
        <v>449</v>
      </c>
      <c r="C36">
        <v>40.927380265785672</v>
      </c>
      <c r="D36">
        <v>16.424857931493275</v>
      </c>
      <c r="F36" t="s">
        <v>722</v>
      </c>
      <c r="G36">
        <v>40.927380265785672</v>
      </c>
      <c r="H36">
        <v>16.424857931493275</v>
      </c>
    </row>
    <row r="37" spans="2:8">
      <c r="B37" t="s">
        <v>450</v>
      </c>
      <c r="C37">
        <v>45.943573524022952</v>
      </c>
      <c r="D37">
        <v>13.220642488250917</v>
      </c>
      <c r="F37" t="s">
        <v>723</v>
      </c>
      <c r="G37">
        <v>45.943573524022952</v>
      </c>
      <c r="H37">
        <v>13.220642488250917</v>
      </c>
    </row>
    <row r="38" spans="2:8">
      <c r="B38" t="s">
        <v>451</v>
      </c>
      <c r="C38">
        <v>45.823815777245663</v>
      </c>
      <c r="D38">
        <v>12.230260874077894</v>
      </c>
      <c r="F38" t="s">
        <v>724</v>
      </c>
      <c r="G38">
        <v>45.823815777245663</v>
      </c>
      <c r="H38">
        <v>12.230260874077894</v>
      </c>
    </row>
    <row r="39" spans="2:8">
      <c r="B39" t="s">
        <v>452</v>
      </c>
      <c r="C39">
        <v>41.754315336489682</v>
      </c>
      <c r="D39">
        <v>14.996509110051967</v>
      </c>
      <c r="F39" t="s">
        <v>725</v>
      </c>
      <c r="G39">
        <v>41.754315336489682</v>
      </c>
      <c r="H39">
        <v>14.996509110051967</v>
      </c>
    </row>
    <row r="40" spans="2:8">
      <c r="B40" t="s">
        <v>453</v>
      </c>
      <c r="C40">
        <v>42.215337001420522</v>
      </c>
      <c r="D40">
        <v>12.244299181270501</v>
      </c>
      <c r="F40" t="s">
        <v>726</v>
      </c>
      <c r="G40">
        <v>42.215337001420522</v>
      </c>
      <c r="H40">
        <v>12.244299181270501</v>
      </c>
    </row>
    <row r="41" spans="2:8">
      <c r="B41" t="s">
        <v>454</v>
      </c>
      <c r="C41">
        <v>41.295079168979449</v>
      </c>
      <c r="D41">
        <v>13.811343516229638</v>
      </c>
      <c r="F41" t="s">
        <v>727</v>
      </c>
      <c r="G41">
        <v>41.295079168979449</v>
      </c>
      <c r="H41">
        <v>13.811343516229638</v>
      </c>
    </row>
    <row r="42" spans="2:8">
      <c r="B42" t="s">
        <v>455</v>
      </c>
      <c r="C42">
        <v>44.927287693312167</v>
      </c>
      <c r="D42">
        <v>11.677568553303711</v>
      </c>
      <c r="F42" t="s">
        <v>728</v>
      </c>
      <c r="G42">
        <v>44.927287693312167</v>
      </c>
      <c r="H42">
        <v>11.677568553303711</v>
      </c>
    </row>
    <row r="43" spans="2:8">
      <c r="B43" t="s">
        <v>456</v>
      </c>
      <c r="C43">
        <v>43.458377190974026</v>
      </c>
      <c r="D43">
        <v>13.022336310515552</v>
      </c>
      <c r="F43" t="s">
        <v>729</v>
      </c>
      <c r="G43">
        <v>43.458377190974026</v>
      </c>
      <c r="H43">
        <v>13.022336310515552</v>
      </c>
    </row>
    <row r="44" spans="2:8">
      <c r="B44" t="s">
        <v>457</v>
      </c>
      <c r="C44">
        <v>43.276185234354188</v>
      </c>
      <c r="D44">
        <v>11.741104193152998</v>
      </c>
      <c r="F44" t="s">
        <v>730</v>
      </c>
      <c r="G44">
        <v>43.276185234354188</v>
      </c>
      <c r="H44">
        <v>11.741104193152998</v>
      </c>
    </row>
    <row r="45" spans="2:8">
      <c r="B45" t="s">
        <v>458</v>
      </c>
      <c r="C45">
        <v>45.78860181862273</v>
      </c>
      <c r="D45">
        <v>12.575999999999992</v>
      </c>
      <c r="F45" t="s">
        <v>731</v>
      </c>
      <c r="G45">
        <v>45.78860181862273</v>
      </c>
      <c r="H45">
        <v>12.575999999999992</v>
      </c>
    </row>
    <row r="46" spans="2:8">
      <c r="B46" t="s">
        <v>459</v>
      </c>
      <c r="C46">
        <v>42.762006204358073</v>
      </c>
      <c r="D46">
        <v>10.687036179648622</v>
      </c>
      <c r="F46" t="s">
        <v>732</v>
      </c>
      <c r="G46">
        <v>42.762006204358073</v>
      </c>
      <c r="H46">
        <v>10.687036179648622</v>
      </c>
    </row>
    <row r="47" spans="2:8">
      <c r="B47" t="s">
        <v>460</v>
      </c>
      <c r="C47">
        <v>42.626731534659491</v>
      </c>
      <c r="D47">
        <v>11.65920487481382</v>
      </c>
      <c r="F47" t="s">
        <v>733</v>
      </c>
      <c r="G47">
        <v>42.626731534659491</v>
      </c>
      <c r="H47">
        <v>11.65920487481382</v>
      </c>
    </row>
    <row r="48" spans="2:8">
      <c r="B48" t="s">
        <v>461</v>
      </c>
      <c r="C48">
        <v>44.439621273035918</v>
      </c>
      <c r="D48">
        <v>8.7076828350841513</v>
      </c>
      <c r="F48" t="s">
        <v>734</v>
      </c>
      <c r="G48">
        <v>44.439621273035918</v>
      </c>
      <c r="H48">
        <v>8.7076828350841513</v>
      </c>
    </row>
    <row r="49" spans="2:8">
      <c r="B49" t="s">
        <v>462</v>
      </c>
      <c r="C49">
        <v>43.541809615180043</v>
      </c>
      <c r="D49">
        <v>10.733977166296841</v>
      </c>
      <c r="F49" t="s">
        <v>735</v>
      </c>
      <c r="G49">
        <v>43.541809615180043</v>
      </c>
      <c r="H49">
        <v>10.733977166296841</v>
      </c>
    </row>
    <row r="50" spans="2:8">
      <c r="B50" t="s">
        <v>463</v>
      </c>
      <c r="C50">
        <v>43.989961091173647</v>
      </c>
      <c r="D50">
        <v>11.773407696538346</v>
      </c>
      <c r="F50" t="s">
        <v>736</v>
      </c>
      <c r="G50">
        <v>43.989961091173647</v>
      </c>
      <c r="H50">
        <v>11.773407696538346</v>
      </c>
    </row>
    <row r="51" spans="2:8">
      <c r="B51" t="s">
        <v>464</v>
      </c>
      <c r="C51">
        <v>43.313448200111658</v>
      </c>
      <c r="D51">
        <v>12.242745017913906</v>
      </c>
      <c r="F51" t="s">
        <v>737</v>
      </c>
      <c r="G51">
        <v>43.313448200111658</v>
      </c>
      <c r="H51">
        <v>12.242745017913906</v>
      </c>
    </row>
    <row r="52" spans="2:8">
      <c r="B52" t="s">
        <v>465</v>
      </c>
      <c r="C52">
        <v>43.165071194600202</v>
      </c>
      <c r="D52">
        <v>13.7072635339174</v>
      </c>
      <c r="F52" t="s">
        <v>738</v>
      </c>
      <c r="G52">
        <v>43.165071194600202</v>
      </c>
      <c r="H52">
        <v>13.7072635339174</v>
      </c>
    </row>
    <row r="53" spans="2:8">
      <c r="B53" t="s">
        <v>466</v>
      </c>
      <c r="C53">
        <v>43.815541471686402</v>
      </c>
      <c r="D53">
        <v>12.802292803272657</v>
      </c>
      <c r="F53" t="s">
        <v>739</v>
      </c>
      <c r="G53">
        <v>43.815541471686402</v>
      </c>
      <c r="H53">
        <v>12.802292803272657</v>
      </c>
    </row>
    <row r="54" spans="2:8">
      <c r="B54" t="s">
        <v>467</v>
      </c>
      <c r="C54">
        <v>41.771461679663403</v>
      </c>
      <c r="D54">
        <v>14.926456361827096</v>
      </c>
      <c r="F54" t="s">
        <v>740</v>
      </c>
      <c r="G54">
        <v>41.771461679663403</v>
      </c>
      <c r="H54">
        <v>14.926456361827096</v>
      </c>
    </row>
    <row r="55" spans="2:8">
      <c r="B55" t="s">
        <v>468</v>
      </c>
      <c r="C55">
        <v>40.662459144076259</v>
      </c>
      <c r="D55">
        <v>16.553561057325823</v>
      </c>
      <c r="F55" t="s">
        <v>741</v>
      </c>
      <c r="G55">
        <v>40.662459144076259</v>
      </c>
      <c r="H55">
        <v>16.553561057325823</v>
      </c>
    </row>
    <row r="56" spans="2:8">
      <c r="B56" t="s">
        <v>469</v>
      </c>
      <c r="C56">
        <v>40.962846614761794</v>
      </c>
      <c r="D56">
        <v>15.276234479547758</v>
      </c>
      <c r="F56" t="s">
        <v>742</v>
      </c>
      <c r="G56">
        <v>40.962846614761794</v>
      </c>
      <c r="H56">
        <v>15.276234479547758</v>
      </c>
    </row>
    <row r="57" spans="2:8">
      <c r="B57" t="s">
        <v>470</v>
      </c>
      <c r="C57">
        <v>39.524432841895937</v>
      </c>
      <c r="D57">
        <v>15.85351209015033</v>
      </c>
      <c r="F57" t="s">
        <v>743</v>
      </c>
      <c r="G57">
        <v>39.524432841895937</v>
      </c>
      <c r="H57">
        <v>15.85351209015033</v>
      </c>
    </row>
    <row r="58" spans="2:8">
      <c r="B58" t="s">
        <v>471</v>
      </c>
      <c r="C58">
        <v>41.387232543440632</v>
      </c>
      <c r="D58">
        <v>13.136590550133658</v>
      </c>
      <c r="F58" t="s">
        <v>744</v>
      </c>
      <c r="G58">
        <v>41.387232543440632</v>
      </c>
      <c r="H58">
        <v>13.136590550133658</v>
      </c>
    </row>
    <row r="59" spans="2:8">
      <c r="B59" t="s">
        <v>472</v>
      </c>
      <c r="C59">
        <v>40.125309530783639</v>
      </c>
      <c r="D59">
        <v>9.0485813626997</v>
      </c>
      <c r="F59" t="s">
        <v>745</v>
      </c>
      <c r="G59">
        <v>40.125309530783639</v>
      </c>
      <c r="H59">
        <v>9.0485813626997</v>
      </c>
    </row>
    <row r="60" spans="2:8">
      <c r="B60" t="s">
        <v>473</v>
      </c>
      <c r="C60">
        <v>37.348929063901487</v>
      </c>
      <c r="D60">
        <v>13.429102290521142</v>
      </c>
      <c r="F60" t="s">
        <v>746</v>
      </c>
      <c r="G60">
        <v>37.348929063901487</v>
      </c>
      <c r="H60">
        <v>13.429102290521142</v>
      </c>
    </row>
    <row r="61" spans="2:8">
      <c r="B61" t="s">
        <v>474</v>
      </c>
      <c r="C61">
        <v>37.657952413192497</v>
      </c>
      <c r="D61">
        <v>14.157661964492466</v>
      </c>
      <c r="F61" t="s">
        <v>747</v>
      </c>
      <c r="G61">
        <v>37.657952413192497</v>
      </c>
      <c r="H61">
        <v>14.157661964492466</v>
      </c>
    </row>
    <row r="62" spans="2:8">
      <c r="B62" t="s">
        <v>475</v>
      </c>
      <c r="C62">
        <v>38.073394369908527</v>
      </c>
      <c r="D62">
        <v>15.660339621670584</v>
      </c>
      <c r="F62" t="s">
        <v>748</v>
      </c>
      <c r="G62">
        <v>38.073394369908527</v>
      </c>
      <c r="H62">
        <v>15.660339621670584</v>
      </c>
    </row>
    <row r="63" spans="2:8">
      <c r="B63" t="s">
        <v>476</v>
      </c>
      <c r="C63">
        <v>38.748649611359333</v>
      </c>
      <c r="D63">
        <v>16.206990372452449</v>
      </c>
      <c r="F63" t="s">
        <v>749</v>
      </c>
      <c r="G63">
        <v>38.748649611359333</v>
      </c>
      <c r="H63">
        <v>16.206990372452449</v>
      </c>
    </row>
    <row r="64" spans="2:8">
      <c r="B64" t="s">
        <v>477</v>
      </c>
      <c r="C64">
        <v>42.526462924822802</v>
      </c>
      <c r="D64">
        <v>15.560780426873857</v>
      </c>
      <c r="F64" t="s">
        <v>750</v>
      </c>
      <c r="G64">
        <v>42.526462924822802</v>
      </c>
      <c r="H64">
        <v>15.560780426873857</v>
      </c>
    </row>
    <row r="65" spans="2:8">
      <c r="B65" t="s">
        <v>478</v>
      </c>
      <c r="C65">
        <v>43.80798448434151</v>
      </c>
      <c r="D65">
        <v>14.327244159780069</v>
      </c>
      <c r="F65" t="s">
        <v>751</v>
      </c>
      <c r="G65">
        <v>43.80798448434151</v>
      </c>
      <c r="H65">
        <v>14.327244159780069</v>
      </c>
    </row>
    <row r="66" spans="2:8">
      <c r="B66" t="s">
        <v>479</v>
      </c>
      <c r="C66">
        <v>41.603999048499617</v>
      </c>
      <c r="D66">
        <v>17.130557179253813</v>
      </c>
      <c r="F66" t="s">
        <v>752</v>
      </c>
      <c r="G66">
        <v>41.603999048499617</v>
      </c>
      <c r="H66">
        <v>17.130557179253813</v>
      </c>
    </row>
    <row r="67" spans="2:8">
      <c r="B67" t="s">
        <v>480</v>
      </c>
      <c r="C67">
        <v>38.88723180837691</v>
      </c>
      <c r="D67">
        <v>17.289706059093778</v>
      </c>
      <c r="F67" t="s">
        <v>753</v>
      </c>
      <c r="G67">
        <v>38.88723180837691</v>
      </c>
      <c r="H67">
        <v>17.289706059093778</v>
      </c>
    </row>
    <row r="68" spans="2:8">
      <c r="B68" t="s">
        <v>481</v>
      </c>
      <c r="C68">
        <v>40.403234936376158</v>
      </c>
      <c r="D68">
        <v>18.489959823029459</v>
      </c>
      <c r="F68" t="s">
        <v>754</v>
      </c>
      <c r="G68">
        <v>40.403234936376158</v>
      </c>
      <c r="H68">
        <v>18.489959823029459</v>
      </c>
    </row>
    <row r="69" spans="2:8">
      <c r="B69" t="s">
        <v>482</v>
      </c>
      <c r="C69">
        <v>41.178829653909688</v>
      </c>
      <c r="D69">
        <v>8.6414966777833282</v>
      </c>
      <c r="F69" t="s">
        <v>755</v>
      </c>
      <c r="G69">
        <v>41.178829653909688</v>
      </c>
      <c r="H69">
        <v>8.6414966777833282</v>
      </c>
    </row>
    <row r="70" spans="2:8">
      <c r="B70" t="s">
        <v>483</v>
      </c>
      <c r="C70">
        <v>41.124824026921537</v>
      </c>
      <c r="D70">
        <v>9.8631460012329057</v>
      </c>
      <c r="F70" t="s">
        <v>756</v>
      </c>
      <c r="G70">
        <v>41.124824026921537</v>
      </c>
      <c r="H70">
        <v>9.8631460012329057</v>
      </c>
    </row>
    <row r="71" spans="2:8">
      <c r="B71" t="s">
        <v>484</v>
      </c>
      <c r="C71">
        <v>41.8371265139263</v>
      </c>
      <c r="D71">
        <v>11.528388402454285</v>
      </c>
      <c r="F71" t="s">
        <v>757</v>
      </c>
      <c r="G71">
        <v>41.8371265139263</v>
      </c>
      <c r="H71">
        <v>11.528388402454285</v>
      </c>
    </row>
    <row r="72" spans="2:8">
      <c r="B72" t="s">
        <v>485</v>
      </c>
      <c r="C72">
        <v>42.41172486444755</v>
      </c>
      <c r="D72">
        <v>10.353772583880287</v>
      </c>
      <c r="F72" t="s">
        <v>758</v>
      </c>
      <c r="G72">
        <v>42.41172486444755</v>
      </c>
      <c r="H72">
        <v>10.353772583880287</v>
      </c>
    </row>
    <row r="73" spans="2:8">
      <c r="B73" t="s">
        <v>486</v>
      </c>
      <c r="C73">
        <v>43.332259116601293</v>
      </c>
      <c r="D73">
        <v>9.6702246438848682</v>
      </c>
      <c r="F73" t="s">
        <v>759</v>
      </c>
      <c r="G73">
        <v>43.332259116601293</v>
      </c>
      <c r="H73">
        <v>9.6702246438848682</v>
      </c>
    </row>
    <row r="74" spans="2:8">
      <c r="B74" t="s">
        <v>487</v>
      </c>
      <c r="C74">
        <v>43.939797374028203</v>
      </c>
      <c r="D74">
        <v>8.5226745646801945</v>
      </c>
      <c r="F74" t="s">
        <v>760</v>
      </c>
      <c r="G74">
        <v>43.939797374028203</v>
      </c>
      <c r="H74">
        <v>8.5226745646801945</v>
      </c>
    </row>
    <row r="75" spans="2:8">
      <c r="B75" t="s">
        <v>488</v>
      </c>
      <c r="C75">
        <v>40.648847564781263</v>
      </c>
      <c r="D75">
        <v>13.456363213899907</v>
      </c>
      <c r="F75" t="s">
        <v>761</v>
      </c>
      <c r="G75">
        <v>40.648847564781263</v>
      </c>
      <c r="H75">
        <v>13.456363213899907</v>
      </c>
    </row>
    <row r="76" spans="2:8">
      <c r="B76" t="s">
        <v>489</v>
      </c>
      <c r="C76">
        <v>38.858875978516153</v>
      </c>
      <c r="D76">
        <v>15.028228867854429</v>
      </c>
      <c r="F76" t="s">
        <v>762</v>
      </c>
      <c r="G76">
        <v>38.858875978516153</v>
      </c>
      <c r="H76">
        <v>15.028228867854429</v>
      </c>
    </row>
    <row r="77" spans="2:8">
      <c r="B77" t="s">
        <v>490</v>
      </c>
      <c r="C77">
        <v>38.304445043301136</v>
      </c>
      <c r="D77">
        <v>12.539303442399593</v>
      </c>
      <c r="F77" t="s">
        <v>763</v>
      </c>
      <c r="G77">
        <v>38.304445043301136</v>
      </c>
      <c r="H77">
        <v>12.539303442399593</v>
      </c>
    </row>
    <row r="78" spans="2:8">
      <c r="B78" t="s">
        <v>491</v>
      </c>
      <c r="C78">
        <v>37.870090496129002</v>
      </c>
      <c r="D78">
        <v>11.118876841730234</v>
      </c>
      <c r="F78" t="s">
        <v>764</v>
      </c>
      <c r="G78">
        <v>37.870090496129002</v>
      </c>
      <c r="H78">
        <v>11.118876841730234</v>
      </c>
    </row>
    <row r="79" spans="2:8">
      <c r="B79" t="s">
        <v>492</v>
      </c>
      <c r="C79">
        <v>39.332051381673573</v>
      </c>
      <c r="D79">
        <v>8.3758880244268177</v>
      </c>
      <c r="F79" t="s">
        <v>765</v>
      </c>
      <c r="G79">
        <v>39.332051381673573</v>
      </c>
      <c r="H79">
        <v>8.3758880244268177</v>
      </c>
    </row>
    <row r="80" spans="2:8">
      <c r="B80" t="s">
        <v>493</v>
      </c>
      <c r="C80">
        <v>36.442909351579189</v>
      </c>
      <c r="D80">
        <v>14.421908482299065</v>
      </c>
      <c r="F80" t="s">
        <v>766</v>
      </c>
      <c r="G80">
        <v>36.442909351579189</v>
      </c>
      <c r="H80">
        <v>14.421908482299065</v>
      </c>
    </row>
    <row r="81" spans="2:8">
      <c r="B81" t="s">
        <v>494</v>
      </c>
      <c r="C81">
        <v>35.686406457108475</v>
      </c>
      <c r="D81">
        <v>12.741823546815963</v>
      </c>
      <c r="F81" t="s">
        <v>767</v>
      </c>
      <c r="G81">
        <v>35.686406457108475</v>
      </c>
      <c r="H81">
        <v>12.741823546815963</v>
      </c>
    </row>
    <row r="82" spans="2:8">
      <c r="B82" t="s">
        <v>495</v>
      </c>
      <c r="C82">
        <v>36.83381441549632</v>
      </c>
      <c r="D82">
        <v>12.493117498963169</v>
      </c>
      <c r="F82" t="s">
        <v>768</v>
      </c>
      <c r="G82">
        <v>36.83381441549632</v>
      </c>
      <c r="H82">
        <v>12.493117498963169</v>
      </c>
    </row>
    <row r="83" spans="2:8">
      <c r="B83" t="s">
        <v>496</v>
      </c>
      <c r="C83">
        <v>45.792294916811187</v>
      </c>
      <c r="D83">
        <v>8.6745541460605047</v>
      </c>
      <c r="F83" t="s">
        <v>769</v>
      </c>
      <c r="G83">
        <v>45.792294916811187</v>
      </c>
      <c r="H83">
        <v>8.6745541460605047</v>
      </c>
    </row>
    <row r="84" spans="2:8">
      <c r="B84" t="s">
        <v>497</v>
      </c>
      <c r="C84">
        <v>45.138384716333071</v>
      </c>
      <c r="D84">
        <v>8.4589288686440245</v>
      </c>
      <c r="F84" t="s">
        <v>770</v>
      </c>
      <c r="G84">
        <v>45.138384716333071</v>
      </c>
      <c r="H84">
        <v>8.4589288686440245</v>
      </c>
    </row>
    <row r="85" spans="2:8">
      <c r="B85" t="s">
        <v>498</v>
      </c>
      <c r="C85">
        <v>43.98996109117364</v>
      </c>
      <c r="D85">
        <v>7.9701340692714062</v>
      </c>
      <c r="F85" t="s">
        <v>771</v>
      </c>
      <c r="G85">
        <v>43.98996109117364</v>
      </c>
      <c r="H85">
        <v>7.9701340692714062</v>
      </c>
    </row>
    <row r="86" spans="2:8">
      <c r="B86" t="s">
        <v>499</v>
      </c>
      <c r="C86">
        <v>44.834578162520891</v>
      </c>
      <c r="D86">
        <v>7.6019925253863789</v>
      </c>
      <c r="F86" t="s">
        <v>772</v>
      </c>
      <c r="G86">
        <v>44.834578162520891</v>
      </c>
      <c r="H86">
        <v>7.6019925253863789</v>
      </c>
    </row>
    <row r="87" spans="2:8">
      <c r="B87" t="s">
        <v>500</v>
      </c>
      <c r="C87">
        <v>46.687922182347272</v>
      </c>
      <c r="D87">
        <v>10.525755044508506</v>
      </c>
      <c r="F87" t="s">
        <v>773</v>
      </c>
      <c r="G87">
        <v>46.687922182347272</v>
      </c>
      <c r="H87">
        <v>10.525755044508506</v>
      </c>
    </row>
    <row r="88" spans="2:8">
      <c r="B88" t="s">
        <v>501</v>
      </c>
      <c r="C88">
        <v>45.794172225158917</v>
      </c>
      <c r="D88">
        <v>9.4786948282916352</v>
      </c>
      <c r="F88" t="s">
        <v>774</v>
      </c>
      <c r="G88">
        <v>45.794172225158917</v>
      </c>
      <c r="H88">
        <v>9.4786948282916352</v>
      </c>
    </row>
    <row r="89" spans="2:8">
      <c r="B89" t="s">
        <v>502</v>
      </c>
      <c r="C89">
        <v>45.127412153454301</v>
      </c>
      <c r="D89">
        <v>10.161344390619057</v>
      </c>
      <c r="F89" t="s">
        <v>775</v>
      </c>
      <c r="G89">
        <v>45.127412153454301</v>
      </c>
      <c r="H89">
        <v>10.161344390619057</v>
      </c>
    </row>
    <row r="90" spans="2:8">
      <c r="B90" t="s">
        <v>503</v>
      </c>
      <c r="C90">
        <v>42.972887196198457</v>
      </c>
      <c r="D90">
        <v>10.84266322189022</v>
      </c>
      <c r="F90" t="s">
        <v>776</v>
      </c>
      <c r="G90">
        <v>42.972887196198457</v>
      </c>
      <c r="H90">
        <v>10.84266322189022</v>
      </c>
    </row>
    <row r="91" spans="2:8">
      <c r="B91" t="s">
        <v>504</v>
      </c>
      <c r="C91">
        <v>43.639783005492575</v>
      </c>
      <c r="D91">
        <v>10.739410791957109</v>
      </c>
      <c r="F91" t="s">
        <v>777</v>
      </c>
      <c r="G91">
        <v>43.639783005492575</v>
      </c>
      <c r="H91">
        <v>10.739410791957109</v>
      </c>
    </row>
    <row r="92" spans="2:8">
      <c r="B92" t="s">
        <v>505</v>
      </c>
      <c r="C92">
        <v>40.407255097804487</v>
      </c>
      <c r="D92">
        <v>8.8653874671920914</v>
      </c>
      <c r="F92" t="s">
        <v>778</v>
      </c>
      <c r="G92">
        <v>40.407255097804487</v>
      </c>
      <c r="H92">
        <v>8.8653874671920914</v>
      </c>
    </row>
    <row r="93" spans="2:8">
      <c r="B93" t="s">
        <v>506</v>
      </c>
      <c r="C93">
        <v>39.043699090688662</v>
      </c>
      <c r="D93">
        <v>8.7076828350841513</v>
      </c>
      <c r="F93" t="s">
        <v>779</v>
      </c>
      <c r="G93">
        <v>39.043699090688662</v>
      </c>
      <c r="H93">
        <v>8.7076828350841513</v>
      </c>
    </row>
    <row r="94" spans="2:8">
      <c r="B94" t="s">
        <v>507</v>
      </c>
      <c r="C94">
        <v>37.756793093958471</v>
      </c>
      <c r="D94">
        <v>12.821456429445876</v>
      </c>
      <c r="F94" t="s">
        <v>780</v>
      </c>
      <c r="G94">
        <v>37.756793093958471</v>
      </c>
      <c r="H94">
        <v>12.821456429445876</v>
      </c>
    </row>
    <row r="95" spans="2:8">
      <c r="B95" t="s">
        <v>508</v>
      </c>
      <c r="C95">
        <v>37.194132674353483</v>
      </c>
      <c r="D95">
        <v>14.605436927160916</v>
      </c>
      <c r="F95" t="s">
        <v>781</v>
      </c>
      <c r="G95">
        <v>37.194132674353483</v>
      </c>
      <c r="H95">
        <v>14.605436927160916</v>
      </c>
    </row>
    <row r="96" spans="2:8">
      <c r="B96" t="s">
        <v>509</v>
      </c>
      <c r="C96">
        <v>39.024964018081931</v>
      </c>
      <c r="D96">
        <v>16.508504531186109</v>
      </c>
      <c r="F96" t="s">
        <v>782</v>
      </c>
      <c r="G96">
        <v>39.024964018081931</v>
      </c>
      <c r="H96">
        <v>16.508504531186109</v>
      </c>
    </row>
    <row r="97" spans="2:8">
      <c r="B97" t="s">
        <v>510</v>
      </c>
      <c r="C97">
        <v>40.374426578645007</v>
      </c>
      <c r="D97">
        <v>17.851672738573555</v>
      </c>
      <c r="F97" t="s">
        <v>783</v>
      </c>
      <c r="G97">
        <v>40.374426578645007</v>
      </c>
      <c r="H97">
        <v>17.851672738573555</v>
      </c>
    </row>
    <row r="98" spans="2:8">
      <c r="B98" t="s">
        <v>511</v>
      </c>
      <c r="C98">
        <v>40.927380265785672</v>
      </c>
      <c r="D98">
        <v>16.424857931493275</v>
      </c>
      <c r="F98" t="s">
        <v>784</v>
      </c>
      <c r="G98">
        <v>40.927380265785672</v>
      </c>
      <c r="H98">
        <v>16.424857931493275</v>
      </c>
    </row>
    <row r="99" spans="2:8">
      <c r="B99" t="s">
        <v>512</v>
      </c>
      <c r="C99">
        <v>45.943573524022952</v>
      </c>
      <c r="D99">
        <v>13.220642488250917</v>
      </c>
      <c r="F99" t="s">
        <v>785</v>
      </c>
      <c r="G99">
        <v>45.943573524022952</v>
      </c>
      <c r="H99">
        <v>13.220642488250917</v>
      </c>
    </row>
    <row r="100" spans="2:8">
      <c r="B100" t="s">
        <v>513</v>
      </c>
      <c r="C100">
        <v>45.823815777245663</v>
      </c>
      <c r="D100">
        <v>12.230260874077894</v>
      </c>
      <c r="F100" t="s">
        <v>786</v>
      </c>
      <c r="G100">
        <v>45.823815777245663</v>
      </c>
      <c r="H100">
        <v>12.230260874077894</v>
      </c>
    </row>
    <row r="101" spans="2:8">
      <c r="B101" t="s">
        <v>514</v>
      </c>
      <c r="C101">
        <v>41.754315336489682</v>
      </c>
      <c r="D101">
        <v>14.996509110051967</v>
      </c>
      <c r="F101" t="s">
        <v>787</v>
      </c>
      <c r="G101">
        <v>41.754315336489682</v>
      </c>
      <c r="H101">
        <v>14.996509110051967</v>
      </c>
    </row>
    <row r="102" spans="2:8">
      <c r="B102" t="s">
        <v>515</v>
      </c>
      <c r="C102">
        <v>42.215337001420522</v>
      </c>
      <c r="D102">
        <v>12.244299181270501</v>
      </c>
      <c r="F102" t="s">
        <v>788</v>
      </c>
      <c r="G102">
        <v>42.215337001420522</v>
      </c>
      <c r="H102">
        <v>12.244299181270501</v>
      </c>
    </row>
    <row r="103" spans="2:8">
      <c r="B103" t="s">
        <v>516</v>
      </c>
      <c r="C103">
        <v>41.295079168979449</v>
      </c>
      <c r="D103">
        <v>13.811343516229638</v>
      </c>
      <c r="F103" t="s">
        <v>789</v>
      </c>
      <c r="G103">
        <v>41.295079168979449</v>
      </c>
      <c r="H103">
        <v>13.811343516229638</v>
      </c>
    </row>
    <row r="104" spans="2:8">
      <c r="B104" t="s">
        <v>517</v>
      </c>
      <c r="C104">
        <v>44.927287693312167</v>
      </c>
      <c r="D104">
        <v>11.677568553303711</v>
      </c>
      <c r="F104" t="s">
        <v>790</v>
      </c>
      <c r="G104">
        <v>44.927287693312167</v>
      </c>
      <c r="H104">
        <v>11.677568553303711</v>
      </c>
    </row>
    <row r="105" spans="2:8">
      <c r="B105" t="s">
        <v>518</v>
      </c>
      <c r="C105">
        <v>43.458377190974026</v>
      </c>
      <c r="D105">
        <v>13.022336310515552</v>
      </c>
      <c r="F105" t="s">
        <v>791</v>
      </c>
      <c r="G105">
        <v>43.458377190974026</v>
      </c>
      <c r="H105">
        <v>13.022336310515552</v>
      </c>
    </row>
    <row r="106" spans="2:8">
      <c r="B106" t="s">
        <v>519</v>
      </c>
      <c r="C106">
        <v>43.276185234354188</v>
      </c>
      <c r="D106">
        <v>11.741104193152998</v>
      </c>
      <c r="F106" t="s">
        <v>792</v>
      </c>
      <c r="G106">
        <v>43.276185234354188</v>
      </c>
      <c r="H106">
        <v>11.741104193152998</v>
      </c>
    </row>
    <row r="107" spans="2:8">
      <c r="B107" t="s">
        <v>520</v>
      </c>
      <c r="C107">
        <v>45.78860181862273</v>
      </c>
      <c r="D107">
        <v>12.575999999999992</v>
      </c>
      <c r="F107" t="s">
        <v>793</v>
      </c>
      <c r="G107">
        <v>45.78860181862273</v>
      </c>
      <c r="H107">
        <v>12.575999999999992</v>
      </c>
    </row>
    <row r="108" spans="2:8">
      <c r="B108" t="s">
        <v>521</v>
      </c>
      <c r="C108">
        <v>42.762006204358073</v>
      </c>
      <c r="D108">
        <v>10.687036179648622</v>
      </c>
      <c r="F108" t="s">
        <v>794</v>
      </c>
      <c r="G108">
        <v>42.762006204358073</v>
      </c>
      <c r="H108">
        <v>10.687036179648622</v>
      </c>
    </row>
    <row r="109" spans="2:8">
      <c r="B109" t="s">
        <v>522</v>
      </c>
      <c r="C109">
        <v>42.626731534659491</v>
      </c>
      <c r="D109">
        <v>11.65920487481382</v>
      </c>
      <c r="F109" t="s">
        <v>795</v>
      </c>
      <c r="G109">
        <v>42.626731534659491</v>
      </c>
      <c r="H109">
        <v>11.65920487481382</v>
      </c>
    </row>
    <row r="110" spans="2:8">
      <c r="B110" t="s">
        <v>523</v>
      </c>
      <c r="C110">
        <v>44.439621273035918</v>
      </c>
      <c r="D110">
        <v>8.7076828350841513</v>
      </c>
      <c r="F110" t="s">
        <v>796</v>
      </c>
      <c r="G110">
        <v>44.439621273035918</v>
      </c>
      <c r="H110">
        <v>8.7076828350841513</v>
      </c>
    </row>
    <row r="111" spans="2:8">
      <c r="B111" t="s">
        <v>524</v>
      </c>
      <c r="C111">
        <v>43.541809615180043</v>
      </c>
      <c r="D111">
        <v>10.733977166296841</v>
      </c>
      <c r="F111" t="s">
        <v>797</v>
      </c>
      <c r="G111">
        <v>43.541809615180043</v>
      </c>
      <c r="H111">
        <v>10.733977166296841</v>
      </c>
    </row>
    <row r="112" spans="2:8">
      <c r="B112" t="s">
        <v>525</v>
      </c>
      <c r="C112">
        <v>43.989961091173647</v>
      </c>
      <c r="D112">
        <v>11.773407696538346</v>
      </c>
      <c r="F112" t="s">
        <v>798</v>
      </c>
      <c r="G112">
        <v>43.989961091173647</v>
      </c>
      <c r="H112">
        <v>11.773407696538346</v>
      </c>
    </row>
    <row r="113" spans="2:8">
      <c r="B113" t="s">
        <v>526</v>
      </c>
      <c r="C113">
        <v>43.313448200111658</v>
      </c>
      <c r="D113">
        <v>12.242745017913906</v>
      </c>
      <c r="F113" t="s">
        <v>799</v>
      </c>
      <c r="G113">
        <v>43.313448200111658</v>
      </c>
      <c r="H113">
        <v>12.242745017913906</v>
      </c>
    </row>
    <row r="114" spans="2:8">
      <c r="B114" t="s">
        <v>527</v>
      </c>
      <c r="C114">
        <v>43.165071194600202</v>
      </c>
      <c r="D114">
        <v>13.7072635339174</v>
      </c>
      <c r="F114" t="s">
        <v>800</v>
      </c>
      <c r="G114">
        <v>43.165071194600202</v>
      </c>
      <c r="H114">
        <v>13.7072635339174</v>
      </c>
    </row>
    <row r="115" spans="2:8">
      <c r="B115" t="s">
        <v>528</v>
      </c>
      <c r="C115">
        <v>43.815541471686402</v>
      </c>
      <c r="D115">
        <v>12.802292803272657</v>
      </c>
      <c r="F115" t="s">
        <v>801</v>
      </c>
      <c r="G115">
        <v>43.815541471686402</v>
      </c>
      <c r="H115">
        <v>12.802292803272657</v>
      </c>
    </row>
    <row r="116" spans="2:8">
      <c r="B116" t="s">
        <v>529</v>
      </c>
      <c r="C116">
        <v>41.771461679663403</v>
      </c>
      <c r="D116">
        <v>14.926456361827096</v>
      </c>
      <c r="F116" t="s">
        <v>802</v>
      </c>
      <c r="G116">
        <v>41.771461679663403</v>
      </c>
      <c r="H116">
        <v>14.926456361827096</v>
      </c>
    </row>
    <row r="117" spans="2:8">
      <c r="B117" t="s">
        <v>530</v>
      </c>
      <c r="C117">
        <v>40.662459144076259</v>
      </c>
      <c r="D117">
        <v>16.553561057325823</v>
      </c>
      <c r="F117" t="s">
        <v>803</v>
      </c>
      <c r="G117">
        <v>40.662459144076259</v>
      </c>
      <c r="H117">
        <v>16.553561057325823</v>
      </c>
    </row>
    <row r="118" spans="2:8">
      <c r="B118" t="s">
        <v>531</v>
      </c>
      <c r="C118">
        <v>40.962846614761794</v>
      </c>
      <c r="D118">
        <v>15.276234479547758</v>
      </c>
      <c r="F118" t="s">
        <v>804</v>
      </c>
      <c r="G118">
        <v>40.962846614761794</v>
      </c>
      <c r="H118">
        <v>15.276234479547758</v>
      </c>
    </row>
    <row r="119" spans="2:8">
      <c r="B119" t="s">
        <v>532</v>
      </c>
      <c r="C119">
        <v>39.524432841895937</v>
      </c>
      <c r="D119">
        <v>15.85351209015033</v>
      </c>
      <c r="F119" t="s">
        <v>805</v>
      </c>
      <c r="G119">
        <v>39.524432841895937</v>
      </c>
      <c r="H119">
        <v>15.85351209015033</v>
      </c>
    </row>
    <row r="120" spans="2:8">
      <c r="B120" t="s">
        <v>533</v>
      </c>
      <c r="C120">
        <v>41.387232543440632</v>
      </c>
      <c r="D120">
        <v>13.136590550133658</v>
      </c>
      <c r="F120" t="s">
        <v>806</v>
      </c>
      <c r="G120">
        <v>41.387232543440632</v>
      </c>
      <c r="H120">
        <v>13.136590550133658</v>
      </c>
    </row>
    <row r="121" spans="2:8">
      <c r="B121" t="s">
        <v>534</v>
      </c>
      <c r="C121">
        <v>40.125309530783639</v>
      </c>
      <c r="D121">
        <v>9.0485813626997</v>
      </c>
      <c r="F121" t="s">
        <v>807</v>
      </c>
      <c r="G121">
        <v>40.125309530783639</v>
      </c>
      <c r="H121">
        <v>9.0485813626997</v>
      </c>
    </row>
    <row r="122" spans="2:8">
      <c r="B122" t="s">
        <v>535</v>
      </c>
      <c r="C122">
        <v>37.348929063901487</v>
      </c>
      <c r="D122">
        <v>13.429102290521142</v>
      </c>
      <c r="F122" t="s">
        <v>808</v>
      </c>
      <c r="G122">
        <v>37.348929063901487</v>
      </c>
      <c r="H122">
        <v>13.429102290521142</v>
      </c>
    </row>
    <row r="123" spans="2:8">
      <c r="B123" t="s">
        <v>536</v>
      </c>
      <c r="C123">
        <v>37.657952413192497</v>
      </c>
      <c r="D123">
        <v>14.157661964492466</v>
      </c>
      <c r="F123" t="s">
        <v>809</v>
      </c>
      <c r="G123">
        <v>37.657952413192497</v>
      </c>
      <c r="H123">
        <v>14.157661964492466</v>
      </c>
    </row>
    <row r="124" spans="2:8">
      <c r="B124" t="s">
        <v>537</v>
      </c>
      <c r="C124">
        <v>38.073394369908527</v>
      </c>
      <c r="D124">
        <v>15.660339621670584</v>
      </c>
      <c r="F124" t="s">
        <v>810</v>
      </c>
      <c r="G124">
        <v>38.073394369908527</v>
      </c>
      <c r="H124">
        <v>15.660339621670584</v>
      </c>
    </row>
    <row r="125" spans="2:8">
      <c r="B125" t="s">
        <v>538</v>
      </c>
      <c r="C125">
        <v>38.748649611359333</v>
      </c>
      <c r="D125">
        <v>16.206990372452449</v>
      </c>
      <c r="F125" t="s">
        <v>811</v>
      </c>
      <c r="G125">
        <v>38.748649611359333</v>
      </c>
      <c r="H125">
        <v>16.206990372452449</v>
      </c>
    </row>
    <row r="126" spans="2:8">
      <c r="B126" t="s">
        <v>539</v>
      </c>
      <c r="C126">
        <v>42.526462924822802</v>
      </c>
      <c r="D126">
        <v>15.560780426873857</v>
      </c>
      <c r="F126" t="s">
        <v>812</v>
      </c>
      <c r="G126">
        <v>42.526462924822802</v>
      </c>
      <c r="H126">
        <v>15.560780426873857</v>
      </c>
    </row>
    <row r="127" spans="2:8">
      <c r="B127" t="s">
        <v>540</v>
      </c>
      <c r="C127">
        <v>43.80798448434151</v>
      </c>
      <c r="D127">
        <v>14.327244159780069</v>
      </c>
      <c r="F127" t="s">
        <v>813</v>
      </c>
      <c r="G127">
        <v>43.80798448434151</v>
      </c>
      <c r="H127">
        <v>14.327244159780069</v>
      </c>
    </row>
    <row r="128" spans="2:8">
      <c r="B128" t="s">
        <v>541</v>
      </c>
      <c r="C128">
        <v>41.603999048499617</v>
      </c>
      <c r="D128">
        <v>17.130557179253813</v>
      </c>
      <c r="F128" t="s">
        <v>814</v>
      </c>
      <c r="G128">
        <v>41.603999048499617</v>
      </c>
      <c r="H128">
        <v>17.130557179253813</v>
      </c>
    </row>
    <row r="129" spans="2:8">
      <c r="B129" t="s">
        <v>542</v>
      </c>
      <c r="C129">
        <v>38.88723180837691</v>
      </c>
      <c r="D129">
        <v>17.289706059093778</v>
      </c>
      <c r="F129" t="s">
        <v>815</v>
      </c>
      <c r="G129">
        <v>38.88723180837691</v>
      </c>
      <c r="H129">
        <v>17.289706059093778</v>
      </c>
    </row>
    <row r="130" spans="2:8">
      <c r="B130" t="s">
        <v>543</v>
      </c>
      <c r="C130">
        <v>40.403234936376158</v>
      </c>
      <c r="D130">
        <v>18.489959823029459</v>
      </c>
      <c r="F130" t="s">
        <v>816</v>
      </c>
      <c r="G130">
        <v>40.403234936376158</v>
      </c>
      <c r="H130">
        <v>18.489959823029459</v>
      </c>
    </row>
    <row r="131" spans="2:8">
      <c r="B131" t="s">
        <v>544</v>
      </c>
      <c r="C131">
        <v>41.178829653909688</v>
      </c>
      <c r="D131">
        <v>8.6414966777833282</v>
      </c>
      <c r="F131" t="s">
        <v>817</v>
      </c>
      <c r="G131">
        <v>41.178829653909688</v>
      </c>
      <c r="H131">
        <v>8.6414966777833282</v>
      </c>
    </row>
    <row r="132" spans="2:8">
      <c r="B132" t="s">
        <v>545</v>
      </c>
      <c r="C132">
        <v>41.124824026921537</v>
      </c>
      <c r="D132">
        <v>9.8631460012329057</v>
      </c>
      <c r="F132" t="s">
        <v>818</v>
      </c>
      <c r="G132">
        <v>41.124824026921537</v>
      </c>
      <c r="H132">
        <v>9.8631460012329057</v>
      </c>
    </row>
    <row r="133" spans="2:8">
      <c r="B133" t="s">
        <v>546</v>
      </c>
      <c r="C133">
        <v>41.8371265139263</v>
      </c>
      <c r="D133">
        <v>11.528388402454285</v>
      </c>
      <c r="F133" t="s">
        <v>819</v>
      </c>
      <c r="G133">
        <v>41.8371265139263</v>
      </c>
      <c r="H133">
        <v>11.528388402454285</v>
      </c>
    </row>
    <row r="134" spans="2:8">
      <c r="B134" t="s">
        <v>547</v>
      </c>
      <c r="C134">
        <v>42.41172486444755</v>
      </c>
      <c r="D134">
        <v>10.353772583880287</v>
      </c>
      <c r="F134" t="s">
        <v>820</v>
      </c>
      <c r="G134">
        <v>42.41172486444755</v>
      </c>
      <c r="H134">
        <v>10.353772583880287</v>
      </c>
    </row>
    <row r="135" spans="2:8">
      <c r="B135" t="s">
        <v>548</v>
      </c>
      <c r="C135">
        <v>43.332259116601293</v>
      </c>
      <c r="D135">
        <v>9.6702246438848682</v>
      </c>
      <c r="F135" t="s">
        <v>821</v>
      </c>
      <c r="G135">
        <v>43.332259116601293</v>
      </c>
      <c r="H135">
        <v>9.6702246438848682</v>
      </c>
    </row>
    <row r="136" spans="2:8">
      <c r="B136" t="s">
        <v>549</v>
      </c>
      <c r="C136">
        <v>43.939797374028203</v>
      </c>
      <c r="D136">
        <v>8.5226745646801945</v>
      </c>
      <c r="F136" t="s">
        <v>822</v>
      </c>
      <c r="G136">
        <v>43.939797374028203</v>
      </c>
      <c r="H136">
        <v>8.5226745646801945</v>
      </c>
    </row>
    <row r="137" spans="2:8">
      <c r="B137" t="s">
        <v>550</v>
      </c>
      <c r="C137">
        <v>40.648847564781263</v>
      </c>
      <c r="D137">
        <v>13.456363213899907</v>
      </c>
      <c r="F137" t="s">
        <v>823</v>
      </c>
      <c r="G137">
        <v>40.648847564781263</v>
      </c>
      <c r="H137">
        <v>13.456363213899907</v>
      </c>
    </row>
    <row r="138" spans="2:8">
      <c r="B138" t="s">
        <v>551</v>
      </c>
      <c r="C138">
        <v>38.858875978516153</v>
      </c>
      <c r="D138">
        <v>15.028228867854429</v>
      </c>
      <c r="F138" t="s">
        <v>824</v>
      </c>
      <c r="G138">
        <v>38.858875978516153</v>
      </c>
      <c r="H138">
        <v>15.028228867854429</v>
      </c>
    </row>
    <row r="139" spans="2:8">
      <c r="B139" t="s">
        <v>552</v>
      </c>
      <c r="C139">
        <v>38.304445043301136</v>
      </c>
      <c r="D139">
        <v>12.539303442399593</v>
      </c>
      <c r="F139" t="s">
        <v>825</v>
      </c>
      <c r="G139">
        <v>38.304445043301136</v>
      </c>
      <c r="H139">
        <v>12.539303442399593</v>
      </c>
    </row>
    <row r="140" spans="2:8">
      <c r="B140" t="s">
        <v>553</v>
      </c>
      <c r="C140">
        <v>37.870090496129002</v>
      </c>
      <c r="D140">
        <v>11.118876841730234</v>
      </c>
      <c r="F140" t="s">
        <v>826</v>
      </c>
      <c r="G140">
        <v>37.870090496129002</v>
      </c>
      <c r="H140">
        <v>11.118876841730234</v>
      </c>
    </row>
    <row r="141" spans="2:8">
      <c r="B141" t="s">
        <v>554</v>
      </c>
      <c r="C141">
        <v>39.332051381673573</v>
      </c>
      <c r="D141">
        <v>8.3758880244268177</v>
      </c>
      <c r="F141" t="s">
        <v>827</v>
      </c>
      <c r="G141">
        <v>39.332051381673573</v>
      </c>
      <c r="H141">
        <v>8.3758880244268177</v>
      </c>
    </row>
    <row r="142" spans="2:8">
      <c r="B142" t="s">
        <v>555</v>
      </c>
      <c r="C142">
        <v>36.442909351579189</v>
      </c>
      <c r="D142">
        <v>14.421908482299065</v>
      </c>
      <c r="F142" t="s">
        <v>828</v>
      </c>
      <c r="G142">
        <v>36.442909351579189</v>
      </c>
      <c r="H142">
        <v>14.421908482299065</v>
      </c>
    </row>
    <row r="143" spans="2:8">
      <c r="B143" t="s">
        <v>556</v>
      </c>
      <c r="C143">
        <v>35.686406457108475</v>
      </c>
      <c r="D143">
        <v>12.741823546815963</v>
      </c>
      <c r="F143" t="s">
        <v>829</v>
      </c>
      <c r="G143">
        <v>35.686406457108475</v>
      </c>
      <c r="H143">
        <v>12.741823546815963</v>
      </c>
    </row>
    <row r="144" spans="2:8">
      <c r="B144" t="s">
        <v>557</v>
      </c>
      <c r="C144">
        <v>36.83381441549632</v>
      </c>
      <c r="D144">
        <v>12.493117498963169</v>
      </c>
      <c r="F144" t="s">
        <v>830</v>
      </c>
      <c r="G144">
        <v>36.83381441549632</v>
      </c>
      <c r="H144">
        <v>12.493117498963169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0CC30-FE94-4104-92A4-C51D85BE5EC9}">
  <dimension ref="B9:L144"/>
  <sheetViews>
    <sheetView workbookViewId="0"/>
  </sheetViews>
  <sheetFormatPr defaultRowHeight="15"/>
  <sheetData>
    <row r="9" spans="2:12">
      <c r="B9" t="s">
        <v>64</v>
      </c>
      <c r="F9" t="s">
        <v>64</v>
      </c>
      <c r="J9" t="s">
        <v>73</v>
      </c>
    </row>
    <row r="10" spans="2:12">
      <c r="B10" t="s">
        <v>53</v>
      </c>
      <c r="C10" t="s">
        <v>55</v>
      </c>
      <c r="D10" t="s">
        <v>65</v>
      </c>
      <c r="F10" t="s">
        <v>65</v>
      </c>
      <c r="G10" t="s">
        <v>53</v>
      </c>
      <c r="H10" t="s">
        <v>55</v>
      </c>
      <c r="J10" t="s">
        <v>53</v>
      </c>
      <c r="K10" t="s">
        <v>54</v>
      </c>
      <c r="L10" t="s">
        <v>55</v>
      </c>
    </row>
    <row r="11" spans="2:12">
      <c r="B11" t="s">
        <v>423</v>
      </c>
      <c r="C11" t="s">
        <v>424</v>
      </c>
      <c r="D11" t="s">
        <v>424</v>
      </c>
      <c r="J11" t="s">
        <v>558</v>
      </c>
      <c r="K11" t="s">
        <v>559</v>
      </c>
      <c r="L11" t="s">
        <v>559</v>
      </c>
    </row>
    <row r="12" spans="2:12">
      <c r="B12" t="s">
        <v>423</v>
      </c>
      <c r="C12" t="s">
        <v>425</v>
      </c>
      <c r="D12" t="s">
        <v>425</v>
      </c>
      <c r="J12" t="s">
        <v>558</v>
      </c>
      <c r="K12" t="s">
        <v>560</v>
      </c>
      <c r="L12" t="s">
        <v>560</v>
      </c>
    </row>
    <row r="13" spans="2:12">
      <c r="B13" t="s">
        <v>423</v>
      </c>
      <c r="C13" t="s">
        <v>426</v>
      </c>
      <c r="D13" t="s">
        <v>426</v>
      </c>
      <c r="J13" t="s">
        <v>558</v>
      </c>
      <c r="K13" t="s">
        <v>561</v>
      </c>
      <c r="L13" t="s">
        <v>561</v>
      </c>
    </row>
    <row r="14" spans="2:12">
      <c r="B14" t="s">
        <v>423</v>
      </c>
      <c r="C14" t="s">
        <v>427</v>
      </c>
      <c r="D14" t="s">
        <v>427</v>
      </c>
      <c r="J14" t="s">
        <v>558</v>
      </c>
      <c r="K14" t="s">
        <v>562</v>
      </c>
      <c r="L14" t="s">
        <v>562</v>
      </c>
    </row>
    <row r="15" spans="2:12">
      <c r="B15" t="s">
        <v>423</v>
      </c>
      <c r="C15" t="s">
        <v>428</v>
      </c>
      <c r="D15" t="s">
        <v>428</v>
      </c>
      <c r="J15" t="s">
        <v>558</v>
      </c>
      <c r="K15" t="s">
        <v>563</v>
      </c>
      <c r="L15" t="s">
        <v>563</v>
      </c>
    </row>
    <row r="16" spans="2:12">
      <c r="B16" t="s">
        <v>423</v>
      </c>
      <c r="C16" t="s">
        <v>429</v>
      </c>
      <c r="D16" t="s">
        <v>429</v>
      </c>
      <c r="J16" t="s">
        <v>558</v>
      </c>
      <c r="K16" t="s">
        <v>564</v>
      </c>
      <c r="L16" t="s">
        <v>564</v>
      </c>
    </row>
    <row r="17" spans="2:12">
      <c r="B17" t="s">
        <v>423</v>
      </c>
      <c r="C17" t="s">
        <v>430</v>
      </c>
      <c r="D17" t="s">
        <v>430</v>
      </c>
      <c r="J17" t="s">
        <v>558</v>
      </c>
      <c r="K17" t="s">
        <v>565</v>
      </c>
      <c r="L17" t="s">
        <v>565</v>
      </c>
    </row>
    <row r="18" spans="2:12">
      <c r="B18" t="s">
        <v>423</v>
      </c>
      <c r="C18" t="s">
        <v>431</v>
      </c>
      <c r="D18" t="s">
        <v>431</v>
      </c>
      <c r="J18" t="s">
        <v>558</v>
      </c>
      <c r="K18" t="s">
        <v>566</v>
      </c>
      <c r="L18" t="s">
        <v>566</v>
      </c>
    </row>
    <row r="19" spans="2:12">
      <c r="B19" t="s">
        <v>423</v>
      </c>
      <c r="C19" t="s">
        <v>432</v>
      </c>
      <c r="D19" t="s">
        <v>432</v>
      </c>
      <c r="J19" t="s">
        <v>558</v>
      </c>
      <c r="K19" t="s">
        <v>567</v>
      </c>
      <c r="L19" t="s">
        <v>567</v>
      </c>
    </row>
    <row r="20" spans="2:12">
      <c r="B20" t="s">
        <v>423</v>
      </c>
      <c r="C20" t="s">
        <v>433</v>
      </c>
      <c r="D20" t="s">
        <v>433</v>
      </c>
      <c r="J20" t="s">
        <v>558</v>
      </c>
      <c r="K20" t="s">
        <v>568</v>
      </c>
      <c r="L20" t="s">
        <v>568</v>
      </c>
    </row>
    <row r="21" spans="2:12">
      <c r="B21" t="s">
        <v>423</v>
      </c>
      <c r="C21" t="s">
        <v>434</v>
      </c>
      <c r="D21" t="s">
        <v>434</v>
      </c>
      <c r="J21" t="s">
        <v>558</v>
      </c>
      <c r="K21" t="s">
        <v>569</v>
      </c>
      <c r="L21" t="s">
        <v>569</v>
      </c>
    </row>
    <row r="22" spans="2:12">
      <c r="B22" t="s">
        <v>423</v>
      </c>
      <c r="C22" t="s">
        <v>435</v>
      </c>
      <c r="D22" t="s">
        <v>435</v>
      </c>
      <c r="J22" t="s">
        <v>558</v>
      </c>
      <c r="K22" t="s">
        <v>570</v>
      </c>
      <c r="L22" t="s">
        <v>570</v>
      </c>
    </row>
    <row r="23" spans="2:12">
      <c r="B23" t="s">
        <v>423</v>
      </c>
      <c r="C23" t="s">
        <v>436</v>
      </c>
      <c r="D23" t="s">
        <v>436</v>
      </c>
      <c r="J23" t="s">
        <v>558</v>
      </c>
      <c r="K23" t="s">
        <v>571</v>
      </c>
      <c r="L23" t="s">
        <v>571</v>
      </c>
    </row>
    <row r="24" spans="2:12">
      <c r="B24" t="s">
        <v>423</v>
      </c>
      <c r="C24" t="s">
        <v>437</v>
      </c>
      <c r="D24" t="s">
        <v>437</v>
      </c>
      <c r="J24" t="s">
        <v>558</v>
      </c>
      <c r="K24" t="s">
        <v>572</v>
      </c>
      <c r="L24" t="s">
        <v>572</v>
      </c>
    </row>
    <row r="25" spans="2:12">
      <c r="B25" t="s">
        <v>423</v>
      </c>
      <c r="C25" t="s">
        <v>438</v>
      </c>
      <c r="D25" t="s">
        <v>438</v>
      </c>
      <c r="J25" t="s">
        <v>558</v>
      </c>
      <c r="K25" t="s">
        <v>573</v>
      </c>
      <c r="L25" t="s">
        <v>573</v>
      </c>
    </row>
    <row r="26" spans="2:12">
      <c r="B26" t="s">
        <v>423</v>
      </c>
      <c r="C26" t="s">
        <v>439</v>
      </c>
      <c r="D26" t="s">
        <v>439</v>
      </c>
      <c r="J26" t="s">
        <v>558</v>
      </c>
      <c r="K26" t="s">
        <v>574</v>
      </c>
      <c r="L26" t="s">
        <v>574</v>
      </c>
    </row>
    <row r="27" spans="2:12">
      <c r="B27" t="s">
        <v>423</v>
      </c>
      <c r="C27" t="s">
        <v>440</v>
      </c>
      <c r="D27" t="s">
        <v>440</v>
      </c>
      <c r="J27" t="s">
        <v>558</v>
      </c>
      <c r="K27" t="s">
        <v>575</v>
      </c>
      <c r="L27" t="s">
        <v>575</v>
      </c>
    </row>
    <row r="28" spans="2:12">
      <c r="B28" t="s">
        <v>423</v>
      </c>
      <c r="C28" t="s">
        <v>441</v>
      </c>
      <c r="D28" t="s">
        <v>441</v>
      </c>
      <c r="J28" t="s">
        <v>558</v>
      </c>
      <c r="K28" t="s">
        <v>576</v>
      </c>
      <c r="L28" t="s">
        <v>576</v>
      </c>
    </row>
    <row r="29" spans="2:12">
      <c r="B29" t="s">
        <v>423</v>
      </c>
      <c r="C29" t="s">
        <v>442</v>
      </c>
      <c r="D29" t="s">
        <v>442</v>
      </c>
      <c r="J29" t="s">
        <v>558</v>
      </c>
      <c r="K29" t="s">
        <v>577</v>
      </c>
      <c r="L29" t="s">
        <v>577</v>
      </c>
    </row>
    <row r="30" spans="2:12">
      <c r="B30" t="s">
        <v>423</v>
      </c>
      <c r="C30" t="s">
        <v>443</v>
      </c>
      <c r="D30" t="s">
        <v>443</v>
      </c>
      <c r="J30" t="s">
        <v>558</v>
      </c>
      <c r="K30" t="s">
        <v>578</v>
      </c>
      <c r="L30" t="s">
        <v>578</v>
      </c>
    </row>
    <row r="31" spans="2:12">
      <c r="B31" t="s">
        <v>423</v>
      </c>
      <c r="C31" t="s">
        <v>444</v>
      </c>
      <c r="D31" t="s">
        <v>444</v>
      </c>
      <c r="J31" t="s">
        <v>558</v>
      </c>
      <c r="K31" t="s">
        <v>579</v>
      </c>
      <c r="L31" t="s">
        <v>579</v>
      </c>
    </row>
    <row r="32" spans="2:12">
      <c r="B32" t="s">
        <v>423</v>
      </c>
      <c r="C32" t="s">
        <v>445</v>
      </c>
      <c r="D32" t="s">
        <v>445</v>
      </c>
      <c r="J32" t="s">
        <v>558</v>
      </c>
      <c r="K32" t="s">
        <v>580</v>
      </c>
      <c r="L32" t="s">
        <v>580</v>
      </c>
    </row>
    <row r="33" spans="2:12">
      <c r="B33" t="s">
        <v>423</v>
      </c>
      <c r="C33" t="s">
        <v>446</v>
      </c>
      <c r="D33" t="s">
        <v>446</v>
      </c>
      <c r="J33" t="s">
        <v>558</v>
      </c>
      <c r="K33" t="s">
        <v>581</v>
      </c>
      <c r="L33" t="s">
        <v>581</v>
      </c>
    </row>
    <row r="34" spans="2:12">
      <c r="B34" t="s">
        <v>423</v>
      </c>
      <c r="C34" t="s">
        <v>447</v>
      </c>
      <c r="D34" t="s">
        <v>447</v>
      </c>
      <c r="J34" t="s">
        <v>558</v>
      </c>
      <c r="K34" t="s">
        <v>582</v>
      </c>
      <c r="L34" t="s">
        <v>582</v>
      </c>
    </row>
    <row r="35" spans="2:12">
      <c r="B35" t="s">
        <v>423</v>
      </c>
      <c r="C35" t="s">
        <v>448</v>
      </c>
      <c r="D35" t="s">
        <v>448</v>
      </c>
      <c r="J35" t="s">
        <v>558</v>
      </c>
      <c r="K35" t="s">
        <v>583</v>
      </c>
      <c r="L35" t="s">
        <v>583</v>
      </c>
    </row>
    <row r="36" spans="2:12">
      <c r="B36" t="s">
        <v>423</v>
      </c>
      <c r="C36" t="s">
        <v>449</v>
      </c>
      <c r="D36" t="s">
        <v>449</v>
      </c>
      <c r="J36" t="s">
        <v>558</v>
      </c>
      <c r="K36" t="s">
        <v>584</v>
      </c>
      <c r="L36" t="s">
        <v>584</v>
      </c>
    </row>
    <row r="37" spans="2:12">
      <c r="B37" t="s">
        <v>423</v>
      </c>
      <c r="C37" t="s">
        <v>450</v>
      </c>
      <c r="D37" t="s">
        <v>450</v>
      </c>
      <c r="J37" t="s">
        <v>558</v>
      </c>
      <c r="K37" t="s">
        <v>585</v>
      </c>
      <c r="L37" t="s">
        <v>585</v>
      </c>
    </row>
    <row r="38" spans="2:12">
      <c r="B38" t="s">
        <v>423</v>
      </c>
      <c r="C38" t="s">
        <v>451</v>
      </c>
      <c r="D38" t="s">
        <v>451</v>
      </c>
      <c r="J38" t="s">
        <v>558</v>
      </c>
      <c r="K38" t="s">
        <v>586</v>
      </c>
      <c r="L38" t="s">
        <v>586</v>
      </c>
    </row>
    <row r="39" spans="2:12">
      <c r="B39" t="s">
        <v>423</v>
      </c>
      <c r="C39" t="s">
        <v>452</v>
      </c>
      <c r="D39" t="s">
        <v>452</v>
      </c>
      <c r="J39" t="s">
        <v>558</v>
      </c>
      <c r="K39" t="s">
        <v>587</v>
      </c>
      <c r="L39" t="s">
        <v>587</v>
      </c>
    </row>
    <row r="40" spans="2:12">
      <c r="B40" t="s">
        <v>423</v>
      </c>
      <c r="C40" t="s">
        <v>453</v>
      </c>
      <c r="D40" t="s">
        <v>453</v>
      </c>
      <c r="J40" t="s">
        <v>558</v>
      </c>
      <c r="K40" t="s">
        <v>588</v>
      </c>
      <c r="L40" t="s">
        <v>588</v>
      </c>
    </row>
    <row r="41" spans="2:12">
      <c r="B41" t="s">
        <v>423</v>
      </c>
      <c r="C41" t="s">
        <v>454</v>
      </c>
      <c r="D41" t="s">
        <v>454</v>
      </c>
      <c r="J41" t="s">
        <v>558</v>
      </c>
      <c r="K41" t="s">
        <v>589</v>
      </c>
      <c r="L41" t="s">
        <v>589</v>
      </c>
    </row>
    <row r="42" spans="2:12">
      <c r="B42" t="s">
        <v>423</v>
      </c>
      <c r="C42" t="s">
        <v>455</v>
      </c>
      <c r="D42" t="s">
        <v>455</v>
      </c>
      <c r="J42" t="s">
        <v>558</v>
      </c>
      <c r="K42" t="s">
        <v>590</v>
      </c>
      <c r="L42" t="s">
        <v>590</v>
      </c>
    </row>
    <row r="43" spans="2:12">
      <c r="B43" t="s">
        <v>423</v>
      </c>
      <c r="C43" t="s">
        <v>456</v>
      </c>
      <c r="D43" t="s">
        <v>456</v>
      </c>
      <c r="J43" t="s">
        <v>558</v>
      </c>
      <c r="K43" t="s">
        <v>591</v>
      </c>
      <c r="L43" t="s">
        <v>591</v>
      </c>
    </row>
    <row r="44" spans="2:12">
      <c r="B44" t="s">
        <v>423</v>
      </c>
      <c r="C44" t="s">
        <v>457</v>
      </c>
      <c r="D44" t="s">
        <v>457</v>
      </c>
      <c r="J44" t="s">
        <v>558</v>
      </c>
      <c r="K44" t="s">
        <v>592</v>
      </c>
      <c r="L44" t="s">
        <v>592</v>
      </c>
    </row>
    <row r="45" spans="2:12">
      <c r="B45" t="s">
        <v>423</v>
      </c>
      <c r="C45" t="s">
        <v>458</v>
      </c>
      <c r="D45" t="s">
        <v>458</v>
      </c>
      <c r="J45" t="s">
        <v>558</v>
      </c>
      <c r="K45" t="s">
        <v>593</v>
      </c>
      <c r="L45" t="s">
        <v>593</v>
      </c>
    </row>
    <row r="46" spans="2:12">
      <c r="B46" t="s">
        <v>423</v>
      </c>
      <c r="C46" t="s">
        <v>459</v>
      </c>
      <c r="D46" t="s">
        <v>459</v>
      </c>
      <c r="J46" t="s">
        <v>558</v>
      </c>
      <c r="K46" t="s">
        <v>594</v>
      </c>
      <c r="L46" t="s">
        <v>594</v>
      </c>
    </row>
    <row r="47" spans="2:12">
      <c r="B47" t="s">
        <v>423</v>
      </c>
      <c r="C47" t="s">
        <v>460</v>
      </c>
      <c r="D47" t="s">
        <v>460</v>
      </c>
      <c r="J47" t="s">
        <v>558</v>
      </c>
      <c r="K47" t="s">
        <v>595</v>
      </c>
      <c r="L47" t="s">
        <v>595</v>
      </c>
    </row>
    <row r="48" spans="2:12">
      <c r="B48" t="s">
        <v>423</v>
      </c>
      <c r="C48" t="s">
        <v>461</v>
      </c>
      <c r="D48" t="s">
        <v>461</v>
      </c>
      <c r="J48" t="s">
        <v>558</v>
      </c>
      <c r="K48" t="s">
        <v>596</v>
      </c>
      <c r="L48" t="s">
        <v>596</v>
      </c>
    </row>
    <row r="49" spans="2:12">
      <c r="B49" t="s">
        <v>423</v>
      </c>
      <c r="C49" t="s">
        <v>462</v>
      </c>
      <c r="D49" t="s">
        <v>462</v>
      </c>
      <c r="J49" t="s">
        <v>558</v>
      </c>
      <c r="K49" t="s">
        <v>597</v>
      </c>
      <c r="L49" t="s">
        <v>597</v>
      </c>
    </row>
    <row r="50" spans="2:12">
      <c r="B50" t="s">
        <v>423</v>
      </c>
      <c r="C50" t="s">
        <v>463</v>
      </c>
      <c r="D50" t="s">
        <v>463</v>
      </c>
      <c r="J50" t="s">
        <v>558</v>
      </c>
      <c r="K50" t="s">
        <v>598</v>
      </c>
      <c r="L50" t="s">
        <v>598</v>
      </c>
    </row>
    <row r="51" spans="2:12">
      <c r="B51" t="s">
        <v>423</v>
      </c>
      <c r="C51" t="s">
        <v>464</v>
      </c>
      <c r="D51" t="s">
        <v>464</v>
      </c>
      <c r="J51" t="s">
        <v>558</v>
      </c>
      <c r="K51" t="s">
        <v>599</v>
      </c>
      <c r="L51" t="s">
        <v>599</v>
      </c>
    </row>
    <row r="52" spans="2:12">
      <c r="B52" t="s">
        <v>423</v>
      </c>
      <c r="C52" t="s">
        <v>465</v>
      </c>
      <c r="D52" t="s">
        <v>465</v>
      </c>
      <c r="J52" t="s">
        <v>558</v>
      </c>
      <c r="K52" t="s">
        <v>600</v>
      </c>
      <c r="L52" t="s">
        <v>600</v>
      </c>
    </row>
    <row r="53" spans="2:12">
      <c r="B53" t="s">
        <v>423</v>
      </c>
      <c r="C53" t="s">
        <v>466</v>
      </c>
      <c r="D53" t="s">
        <v>466</v>
      </c>
      <c r="J53" t="s">
        <v>558</v>
      </c>
      <c r="K53" t="s">
        <v>601</v>
      </c>
      <c r="L53" t="s">
        <v>601</v>
      </c>
    </row>
    <row r="54" spans="2:12">
      <c r="B54" t="s">
        <v>423</v>
      </c>
      <c r="C54" t="s">
        <v>467</v>
      </c>
      <c r="D54" t="s">
        <v>467</v>
      </c>
      <c r="J54" t="s">
        <v>558</v>
      </c>
      <c r="K54" t="s">
        <v>602</v>
      </c>
      <c r="L54" t="s">
        <v>602</v>
      </c>
    </row>
    <row r="55" spans="2:12">
      <c r="B55" t="s">
        <v>423</v>
      </c>
      <c r="C55" t="s">
        <v>468</v>
      </c>
      <c r="D55" t="s">
        <v>468</v>
      </c>
      <c r="J55" t="s">
        <v>558</v>
      </c>
      <c r="K55" t="s">
        <v>603</v>
      </c>
      <c r="L55" t="s">
        <v>603</v>
      </c>
    </row>
    <row r="56" spans="2:12">
      <c r="B56" t="s">
        <v>423</v>
      </c>
      <c r="C56" t="s">
        <v>469</v>
      </c>
      <c r="D56" t="s">
        <v>469</v>
      </c>
      <c r="J56" t="s">
        <v>558</v>
      </c>
      <c r="K56" t="s">
        <v>604</v>
      </c>
      <c r="L56" t="s">
        <v>604</v>
      </c>
    </row>
    <row r="57" spans="2:12">
      <c r="B57" t="s">
        <v>423</v>
      </c>
      <c r="C57" t="s">
        <v>470</v>
      </c>
      <c r="D57" t="s">
        <v>470</v>
      </c>
      <c r="J57" t="s">
        <v>558</v>
      </c>
      <c r="K57" t="s">
        <v>605</v>
      </c>
      <c r="L57" t="s">
        <v>605</v>
      </c>
    </row>
    <row r="58" spans="2:12">
      <c r="B58" t="s">
        <v>423</v>
      </c>
      <c r="C58" t="s">
        <v>471</v>
      </c>
      <c r="D58" t="s">
        <v>471</v>
      </c>
      <c r="J58" t="s">
        <v>558</v>
      </c>
      <c r="K58" t="s">
        <v>606</v>
      </c>
      <c r="L58" t="s">
        <v>606</v>
      </c>
    </row>
    <row r="59" spans="2:12">
      <c r="B59" t="s">
        <v>423</v>
      </c>
      <c r="C59" t="s">
        <v>472</v>
      </c>
      <c r="D59" t="s">
        <v>472</v>
      </c>
      <c r="J59" t="s">
        <v>558</v>
      </c>
      <c r="K59" t="s">
        <v>607</v>
      </c>
      <c r="L59" t="s">
        <v>607</v>
      </c>
    </row>
    <row r="60" spans="2:12">
      <c r="B60" t="s">
        <v>423</v>
      </c>
      <c r="C60" t="s">
        <v>473</v>
      </c>
      <c r="D60" t="s">
        <v>473</v>
      </c>
      <c r="J60" t="s">
        <v>558</v>
      </c>
      <c r="K60" t="s">
        <v>608</v>
      </c>
      <c r="L60" t="s">
        <v>608</v>
      </c>
    </row>
    <row r="61" spans="2:12">
      <c r="B61" t="s">
        <v>423</v>
      </c>
      <c r="C61" t="s">
        <v>474</v>
      </c>
      <c r="D61" t="s">
        <v>474</v>
      </c>
      <c r="J61" t="s">
        <v>558</v>
      </c>
      <c r="K61" t="s">
        <v>609</v>
      </c>
      <c r="L61" t="s">
        <v>609</v>
      </c>
    </row>
    <row r="62" spans="2:12">
      <c r="B62" t="s">
        <v>423</v>
      </c>
      <c r="C62" t="s">
        <v>475</v>
      </c>
      <c r="D62" t="s">
        <v>475</v>
      </c>
      <c r="J62" t="s">
        <v>558</v>
      </c>
      <c r="K62" t="s">
        <v>610</v>
      </c>
      <c r="L62" t="s">
        <v>610</v>
      </c>
    </row>
    <row r="63" spans="2:12">
      <c r="B63" t="s">
        <v>423</v>
      </c>
      <c r="C63" t="s">
        <v>476</v>
      </c>
      <c r="D63" t="s">
        <v>476</v>
      </c>
      <c r="J63" t="s">
        <v>558</v>
      </c>
      <c r="K63" t="s">
        <v>611</v>
      </c>
      <c r="L63" t="s">
        <v>611</v>
      </c>
    </row>
    <row r="64" spans="2:12">
      <c r="B64" t="s">
        <v>423</v>
      </c>
      <c r="C64" t="s">
        <v>477</v>
      </c>
      <c r="D64" t="s">
        <v>477</v>
      </c>
      <c r="J64" t="s">
        <v>558</v>
      </c>
      <c r="K64" t="s">
        <v>612</v>
      </c>
      <c r="L64" t="s">
        <v>612</v>
      </c>
    </row>
    <row r="65" spans="2:12">
      <c r="B65" t="s">
        <v>423</v>
      </c>
      <c r="C65" t="s">
        <v>478</v>
      </c>
      <c r="D65" t="s">
        <v>478</v>
      </c>
      <c r="J65" t="s">
        <v>558</v>
      </c>
      <c r="K65" t="s">
        <v>613</v>
      </c>
      <c r="L65" t="s">
        <v>613</v>
      </c>
    </row>
    <row r="66" spans="2:12">
      <c r="B66" t="s">
        <v>423</v>
      </c>
      <c r="C66" t="s">
        <v>479</v>
      </c>
      <c r="D66" t="s">
        <v>479</v>
      </c>
      <c r="J66" t="s">
        <v>558</v>
      </c>
      <c r="K66" t="s">
        <v>614</v>
      </c>
      <c r="L66" t="s">
        <v>614</v>
      </c>
    </row>
    <row r="67" spans="2:12">
      <c r="B67" t="s">
        <v>423</v>
      </c>
      <c r="C67" t="s">
        <v>480</v>
      </c>
      <c r="D67" t="s">
        <v>480</v>
      </c>
      <c r="J67" t="s">
        <v>558</v>
      </c>
      <c r="K67" t="s">
        <v>615</v>
      </c>
      <c r="L67" t="s">
        <v>615</v>
      </c>
    </row>
    <row r="68" spans="2:12">
      <c r="B68" t="s">
        <v>423</v>
      </c>
      <c r="C68" t="s">
        <v>481</v>
      </c>
      <c r="D68" t="s">
        <v>481</v>
      </c>
      <c r="J68" t="s">
        <v>558</v>
      </c>
      <c r="K68" t="s">
        <v>616</v>
      </c>
      <c r="L68" t="s">
        <v>616</v>
      </c>
    </row>
    <row r="69" spans="2:12">
      <c r="B69" t="s">
        <v>423</v>
      </c>
      <c r="C69" t="s">
        <v>482</v>
      </c>
      <c r="D69" t="s">
        <v>482</v>
      </c>
      <c r="J69" t="s">
        <v>558</v>
      </c>
      <c r="K69" t="s">
        <v>617</v>
      </c>
      <c r="L69" t="s">
        <v>617</v>
      </c>
    </row>
    <row r="70" spans="2:12">
      <c r="B70" t="s">
        <v>423</v>
      </c>
      <c r="C70" t="s">
        <v>483</v>
      </c>
      <c r="D70" t="s">
        <v>483</v>
      </c>
      <c r="J70" t="s">
        <v>558</v>
      </c>
      <c r="K70" t="s">
        <v>618</v>
      </c>
      <c r="L70" t="s">
        <v>618</v>
      </c>
    </row>
    <row r="71" spans="2:12">
      <c r="B71" t="s">
        <v>423</v>
      </c>
      <c r="C71" t="s">
        <v>484</v>
      </c>
      <c r="D71" t="s">
        <v>484</v>
      </c>
      <c r="J71" t="s">
        <v>558</v>
      </c>
      <c r="K71" t="s">
        <v>619</v>
      </c>
      <c r="L71" t="s">
        <v>619</v>
      </c>
    </row>
    <row r="72" spans="2:12">
      <c r="B72" t="s">
        <v>423</v>
      </c>
      <c r="C72" t="s">
        <v>485</v>
      </c>
      <c r="D72" t="s">
        <v>485</v>
      </c>
      <c r="J72" t="s">
        <v>558</v>
      </c>
      <c r="K72" t="s">
        <v>620</v>
      </c>
      <c r="L72" t="s">
        <v>620</v>
      </c>
    </row>
    <row r="73" spans="2:12">
      <c r="B73" t="s">
        <v>423</v>
      </c>
      <c r="C73" t="s">
        <v>486</v>
      </c>
      <c r="D73" t="s">
        <v>486</v>
      </c>
      <c r="J73" t="s">
        <v>558</v>
      </c>
      <c r="K73" t="s">
        <v>621</v>
      </c>
      <c r="L73" t="s">
        <v>621</v>
      </c>
    </row>
    <row r="74" spans="2:12">
      <c r="B74" t="s">
        <v>423</v>
      </c>
      <c r="C74" t="s">
        <v>487</v>
      </c>
      <c r="D74" t="s">
        <v>487</v>
      </c>
      <c r="J74" t="s">
        <v>558</v>
      </c>
      <c r="K74" t="s">
        <v>622</v>
      </c>
      <c r="L74" t="s">
        <v>622</v>
      </c>
    </row>
    <row r="75" spans="2:12">
      <c r="B75" t="s">
        <v>423</v>
      </c>
      <c r="C75" t="s">
        <v>488</v>
      </c>
      <c r="D75" t="s">
        <v>488</v>
      </c>
      <c r="J75" t="s">
        <v>558</v>
      </c>
      <c r="K75" t="s">
        <v>623</v>
      </c>
      <c r="L75" t="s">
        <v>623</v>
      </c>
    </row>
    <row r="76" spans="2:12">
      <c r="B76" t="s">
        <v>423</v>
      </c>
      <c r="C76" t="s">
        <v>489</v>
      </c>
      <c r="D76" t="s">
        <v>489</v>
      </c>
      <c r="J76" t="s">
        <v>558</v>
      </c>
      <c r="K76" t="s">
        <v>624</v>
      </c>
      <c r="L76" t="s">
        <v>624</v>
      </c>
    </row>
    <row r="77" spans="2:12">
      <c r="B77" t="s">
        <v>423</v>
      </c>
      <c r="C77" t="s">
        <v>490</v>
      </c>
      <c r="D77" t="s">
        <v>490</v>
      </c>
      <c r="J77" t="s">
        <v>558</v>
      </c>
      <c r="K77" t="s">
        <v>625</v>
      </c>
      <c r="L77" t="s">
        <v>625</v>
      </c>
    </row>
    <row r="78" spans="2:12">
      <c r="B78" t="s">
        <v>423</v>
      </c>
      <c r="C78" t="s">
        <v>491</v>
      </c>
      <c r="D78" t="s">
        <v>491</v>
      </c>
      <c r="J78" t="s">
        <v>558</v>
      </c>
      <c r="K78" t="s">
        <v>626</v>
      </c>
      <c r="L78" t="s">
        <v>626</v>
      </c>
    </row>
    <row r="79" spans="2:12">
      <c r="B79" t="s">
        <v>423</v>
      </c>
      <c r="C79" t="s">
        <v>492</v>
      </c>
      <c r="D79" t="s">
        <v>492</v>
      </c>
      <c r="J79" t="s">
        <v>558</v>
      </c>
      <c r="K79" t="s">
        <v>627</v>
      </c>
      <c r="L79" t="s">
        <v>627</v>
      </c>
    </row>
    <row r="80" spans="2:12">
      <c r="B80" t="s">
        <v>423</v>
      </c>
      <c r="C80" t="s">
        <v>493</v>
      </c>
      <c r="D80" t="s">
        <v>493</v>
      </c>
      <c r="J80" t="s">
        <v>558</v>
      </c>
      <c r="K80" t="s">
        <v>628</v>
      </c>
      <c r="L80" t="s">
        <v>628</v>
      </c>
    </row>
    <row r="81" spans="2:12">
      <c r="B81" t="s">
        <v>423</v>
      </c>
      <c r="C81" t="s">
        <v>494</v>
      </c>
      <c r="D81" t="s">
        <v>494</v>
      </c>
      <c r="J81" t="s">
        <v>558</v>
      </c>
      <c r="K81" t="s">
        <v>629</v>
      </c>
      <c r="L81" t="s">
        <v>629</v>
      </c>
    </row>
    <row r="82" spans="2:12">
      <c r="B82" t="s">
        <v>423</v>
      </c>
      <c r="C82" t="s">
        <v>495</v>
      </c>
      <c r="D82" t="s">
        <v>495</v>
      </c>
      <c r="J82" t="s">
        <v>558</v>
      </c>
      <c r="K82" t="s">
        <v>630</v>
      </c>
      <c r="L82" t="s">
        <v>630</v>
      </c>
    </row>
    <row r="83" spans="2:12">
      <c r="B83" t="s">
        <v>423</v>
      </c>
      <c r="C83" t="s">
        <v>496</v>
      </c>
      <c r="D83" t="s">
        <v>496</v>
      </c>
      <c r="J83" t="s">
        <v>558</v>
      </c>
      <c r="K83" t="s">
        <v>631</v>
      </c>
      <c r="L83" t="s">
        <v>631</v>
      </c>
    </row>
    <row r="84" spans="2:12">
      <c r="B84" t="s">
        <v>423</v>
      </c>
      <c r="C84" t="s">
        <v>497</v>
      </c>
      <c r="D84" t="s">
        <v>497</v>
      </c>
      <c r="J84" t="s">
        <v>558</v>
      </c>
      <c r="K84" t="s">
        <v>632</v>
      </c>
      <c r="L84" t="s">
        <v>632</v>
      </c>
    </row>
    <row r="85" spans="2:12">
      <c r="B85" t="s">
        <v>423</v>
      </c>
      <c r="C85" t="s">
        <v>498</v>
      </c>
      <c r="D85" t="s">
        <v>498</v>
      </c>
      <c r="J85" t="s">
        <v>558</v>
      </c>
      <c r="K85" t="s">
        <v>633</v>
      </c>
      <c r="L85" t="s">
        <v>633</v>
      </c>
    </row>
    <row r="86" spans="2:12">
      <c r="B86" t="s">
        <v>423</v>
      </c>
      <c r="C86" t="s">
        <v>499</v>
      </c>
      <c r="D86" t="s">
        <v>499</v>
      </c>
      <c r="J86" t="s">
        <v>558</v>
      </c>
      <c r="K86" t="s">
        <v>634</v>
      </c>
      <c r="L86" t="s">
        <v>634</v>
      </c>
    </row>
    <row r="87" spans="2:12">
      <c r="B87" t="s">
        <v>423</v>
      </c>
      <c r="C87" t="s">
        <v>500</v>
      </c>
      <c r="D87" t="s">
        <v>500</v>
      </c>
      <c r="J87" t="s">
        <v>558</v>
      </c>
      <c r="K87" t="s">
        <v>635</v>
      </c>
      <c r="L87" t="s">
        <v>635</v>
      </c>
    </row>
    <row r="88" spans="2:12">
      <c r="B88" t="s">
        <v>423</v>
      </c>
      <c r="C88" t="s">
        <v>501</v>
      </c>
      <c r="D88" t="s">
        <v>501</v>
      </c>
      <c r="J88" t="s">
        <v>558</v>
      </c>
      <c r="K88" t="s">
        <v>636</v>
      </c>
      <c r="L88" t="s">
        <v>636</v>
      </c>
    </row>
    <row r="89" spans="2:12">
      <c r="B89" t="s">
        <v>423</v>
      </c>
      <c r="C89" t="s">
        <v>502</v>
      </c>
      <c r="D89" t="s">
        <v>502</v>
      </c>
      <c r="J89" t="s">
        <v>558</v>
      </c>
      <c r="K89" t="s">
        <v>637</v>
      </c>
      <c r="L89" t="s">
        <v>637</v>
      </c>
    </row>
    <row r="90" spans="2:12">
      <c r="B90" t="s">
        <v>423</v>
      </c>
      <c r="C90" t="s">
        <v>503</v>
      </c>
      <c r="D90" t="s">
        <v>503</v>
      </c>
      <c r="J90" t="s">
        <v>558</v>
      </c>
      <c r="K90" t="s">
        <v>638</v>
      </c>
      <c r="L90" t="s">
        <v>638</v>
      </c>
    </row>
    <row r="91" spans="2:12">
      <c r="B91" t="s">
        <v>423</v>
      </c>
      <c r="C91" t="s">
        <v>504</v>
      </c>
      <c r="D91" t="s">
        <v>504</v>
      </c>
      <c r="J91" t="s">
        <v>558</v>
      </c>
      <c r="K91" t="s">
        <v>639</v>
      </c>
      <c r="L91" t="s">
        <v>639</v>
      </c>
    </row>
    <row r="92" spans="2:12">
      <c r="B92" t="s">
        <v>423</v>
      </c>
      <c r="C92" t="s">
        <v>505</v>
      </c>
      <c r="D92" t="s">
        <v>505</v>
      </c>
      <c r="J92" t="s">
        <v>558</v>
      </c>
      <c r="K92" t="s">
        <v>640</v>
      </c>
      <c r="L92" t="s">
        <v>640</v>
      </c>
    </row>
    <row r="93" spans="2:12">
      <c r="B93" t="s">
        <v>423</v>
      </c>
      <c r="C93" t="s">
        <v>506</v>
      </c>
      <c r="D93" t="s">
        <v>506</v>
      </c>
      <c r="J93" t="s">
        <v>558</v>
      </c>
      <c r="K93" t="s">
        <v>641</v>
      </c>
      <c r="L93" t="s">
        <v>641</v>
      </c>
    </row>
    <row r="94" spans="2:12">
      <c r="B94" t="s">
        <v>423</v>
      </c>
      <c r="C94" t="s">
        <v>507</v>
      </c>
      <c r="D94" t="s">
        <v>507</v>
      </c>
      <c r="J94" t="s">
        <v>558</v>
      </c>
      <c r="K94" t="s">
        <v>642</v>
      </c>
      <c r="L94" t="s">
        <v>642</v>
      </c>
    </row>
    <row r="95" spans="2:12">
      <c r="B95" t="s">
        <v>423</v>
      </c>
      <c r="C95" t="s">
        <v>508</v>
      </c>
      <c r="D95" t="s">
        <v>508</v>
      </c>
      <c r="J95" t="s">
        <v>558</v>
      </c>
      <c r="K95" t="s">
        <v>643</v>
      </c>
      <c r="L95" t="s">
        <v>643</v>
      </c>
    </row>
    <row r="96" spans="2:12">
      <c r="B96" t="s">
        <v>423</v>
      </c>
      <c r="C96" t="s">
        <v>509</v>
      </c>
      <c r="D96" t="s">
        <v>509</v>
      </c>
      <c r="J96" t="s">
        <v>558</v>
      </c>
      <c r="K96" t="s">
        <v>644</v>
      </c>
      <c r="L96" t="s">
        <v>644</v>
      </c>
    </row>
    <row r="97" spans="2:12">
      <c r="B97" t="s">
        <v>423</v>
      </c>
      <c r="C97" t="s">
        <v>510</v>
      </c>
      <c r="D97" t="s">
        <v>510</v>
      </c>
      <c r="J97" t="s">
        <v>558</v>
      </c>
      <c r="K97" t="s">
        <v>645</v>
      </c>
      <c r="L97" t="s">
        <v>645</v>
      </c>
    </row>
    <row r="98" spans="2:12">
      <c r="B98" t="s">
        <v>423</v>
      </c>
      <c r="C98" t="s">
        <v>511</v>
      </c>
      <c r="D98" t="s">
        <v>511</v>
      </c>
      <c r="J98" t="s">
        <v>558</v>
      </c>
      <c r="K98" t="s">
        <v>646</v>
      </c>
      <c r="L98" t="s">
        <v>646</v>
      </c>
    </row>
    <row r="99" spans="2:12">
      <c r="B99" t="s">
        <v>423</v>
      </c>
      <c r="C99" t="s">
        <v>512</v>
      </c>
      <c r="D99" t="s">
        <v>512</v>
      </c>
      <c r="J99" t="s">
        <v>558</v>
      </c>
      <c r="K99" t="s">
        <v>647</v>
      </c>
      <c r="L99" t="s">
        <v>647</v>
      </c>
    </row>
    <row r="100" spans="2:12">
      <c r="B100" t="s">
        <v>423</v>
      </c>
      <c r="C100" t="s">
        <v>513</v>
      </c>
      <c r="D100" t="s">
        <v>513</v>
      </c>
      <c r="J100" t="s">
        <v>558</v>
      </c>
      <c r="K100" t="s">
        <v>648</v>
      </c>
      <c r="L100" t="s">
        <v>648</v>
      </c>
    </row>
    <row r="101" spans="2:12">
      <c r="B101" t="s">
        <v>423</v>
      </c>
      <c r="C101" t="s">
        <v>514</v>
      </c>
      <c r="D101" t="s">
        <v>514</v>
      </c>
      <c r="J101" t="s">
        <v>558</v>
      </c>
      <c r="K101" t="s">
        <v>649</v>
      </c>
      <c r="L101" t="s">
        <v>649</v>
      </c>
    </row>
    <row r="102" spans="2:12">
      <c r="B102" t="s">
        <v>423</v>
      </c>
      <c r="C102" t="s">
        <v>515</v>
      </c>
      <c r="D102" t="s">
        <v>515</v>
      </c>
      <c r="J102" t="s">
        <v>558</v>
      </c>
      <c r="K102" t="s">
        <v>650</v>
      </c>
      <c r="L102" t="s">
        <v>650</v>
      </c>
    </row>
    <row r="103" spans="2:12">
      <c r="B103" t="s">
        <v>423</v>
      </c>
      <c r="C103" t="s">
        <v>516</v>
      </c>
      <c r="D103" t="s">
        <v>516</v>
      </c>
      <c r="J103" t="s">
        <v>558</v>
      </c>
      <c r="K103" t="s">
        <v>651</v>
      </c>
      <c r="L103" t="s">
        <v>651</v>
      </c>
    </row>
    <row r="104" spans="2:12">
      <c r="B104" t="s">
        <v>423</v>
      </c>
      <c r="C104" t="s">
        <v>517</v>
      </c>
      <c r="D104" t="s">
        <v>517</v>
      </c>
      <c r="J104" t="s">
        <v>558</v>
      </c>
      <c r="K104" t="s">
        <v>652</v>
      </c>
      <c r="L104" t="s">
        <v>652</v>
      </c>
    </row>
    <row r="105" spans="2:12">
      <c r="B105" t="s">
        <v>423</v>
      </c>
      <c r="C105" t="s">
        <v>518</v>
      </c>
      <c r="D105" t="s">
        <v>518</v>
      </c>
      <c r="J105" t="s">
        <v>558</v>
      </c>
      <c r="K105" t="s">
        <v>653</v>
      </c>
      <c r="L105" t="s">
        <v>653</v>
      </c>
    </row>
    <row r="106" spans="2:12">
      <c r="B106" t="s">
        <v>423</v>
      </c>
      <c r="C106" t="s">
        <v>519</v>
      </c>
      <c r="D106" t="s">
        <v>519</v>
      </c>
      <c r="J106" t="s">
        <v>558</v>
      </c>
      <c r="K106" t="s">
        <v>654</v>
      </c>
      <c r="L106" t="s">
        <v>654</v>
      </c>
    </row>
    <row r="107" spans="2:12">
      <c r="B107" t="s">
        <v>423</v>
      </c>
      <c r="C107" t="s">
        <v>520</v>
      </c>
      <c r="D107" t="s">
        <v>520</v>
      </c>
      <c r="J107" t="s">
        <v>558</v>
      </c>
      <c r="K107" t="s">
        <v>655</v>
      </c>
      <c r="L107" t="s">
        <v>655</v>
      </c>
    </row>
    <row r="108" spans="2:12">
      <c r="B108" t="s">
        <v>423</v>
      </c>
      <c r="C108" t="s">
        <v>521</v>
      </c>
      <c r="D108" t="s">
        <v>521</v>
      </c>
      <c r="J108" t="s">
        <v>558</v>
      </c>
      <c r="K108" t="s">
        <v>656</v>
      </c>
      <c r="L108" t="s">
        <v>656</v>
      </c>
    </row>
    <row r="109" spans="2:12">
      <c r="B109" t="s">
        <v>423</v>
      </c>
      <c r="C109" t="s">
        <v>522</v>
      </c>
      <c r="D109" t="s">
        <v>522</v>
      </c>
      <c r="J109" t="s">
        <v>558</v>
      </c>
      <c r="K109" t="s">
        <v>657</v>
      </c>
      <c r="L109" t="s">
        <v>657</v>
      </c>
    </row>
    <row r="110" spans="2:12">
      <c r="B110" t="s">
        <v>423</v>
      </c>
      <c r="C110" t="s">
        <v>523</v>
      </c>
      <c r="D110" t="s">
        <v>523</v>
      </c>
      <c r="J110" t="s">
        <v>558</v>
      </c>
      <c r="K110" t="s">
        <v>658</v>
      </c>
      <c r="L110" t="s">
        <v>658</v>
      </c>
    </row>
    <row r="111" spans="2:12">
      <c r="B111" t="s">
        <v>423</v>
      </c>
      <c r="C111" t="s">
        <v>524</v>
      </c>
      <c r="D111" t="s">
        <v>524</v>
      </c>
      <c r="J111" t="s">
        <v>558</v>
      </c>
      <c r="K111" t="s">
        <v>659</v>
      </c>
      <c r="L111" t="s">
        <v>659</v>
      </c>
    </row>
    <row r="112" spans="2:12">
      <c r="B112" t="s">
        <v>423</v>
      </c>
      <c r="C112" t="s">
        <v>525</v>
      </c>
      <c r="D112" t="s">
        <v>525</v>
      </c>
      <c r="J112" t="s">
        <v>558</v>
      </c>
      <c r="K112" t="s">
        <v>660</v>
      </c>
      <c r="L112" t="s">
        <v>660</v>
      </c>
    </row>
    <row r="113" spans="2:12">
      <c r="B113" t="s">
        <v>423</v>
      </c>
      <c r="C113" t="s">
        <v>526</v>
      </c>
      <c r="D113" t="s">
        <v>526</v>
      </c>
      <c r="J113" t="s">
        <v>558</v>
      </c>
      <c r="K113" t="s">
        <v>661</v>
      </c>
      <c r="L113" t="s">
        <v>661</v>
      </c>
    </row>
    <row r="114" spans="2:12">
      <c r="B114" t="s">
        <v>423</v>
      </c>
      <c r="C114" t="s">
        <v>527</v>
      </c>
      <c r="D114" t="s">
        <v>527</v>
      </c>
      <c r="J114" t="s">
        <v>558</v>
      </c>
      <c r="K114" t="s">
        <v>662</v>
      </c>
      <c r="L114" t="s">
        <v>662</v>
      </c>
    </row>
    <row r="115" spans="2:12">
      <c r="B115" t="s">
        <v>423</v>
      </c>
      <c r="C115" t="s">
        <v>528</v>
      </c>
      <c r="D115" t="s">
        <v>528</v>
      </c>
      <c r="J115" t="s">
        <v>558</v>
      </c>
      <c r="K115" t="s">
        <v>663</v>
      </c>
      <c r="L115" t="s">
        <v>663</v>
      </c>
    </row>
    <row r="116" spans="2:12">
      <c r="B116" t="s">
        <v>423</v>
      </c>
      <c r="C116" t="s">
        <v>529</v>
      </c>
      <c r="D116" t="s">
        <v>529</v>
      </c>
      <c r="J116" t="s">
        <v>558</v>
      </c>
      <c r="K116" t="s">
        <v>664</v>
      </c>
      <c r="L116" t="s">
        <v>664</v>
      </c>
    </row>
    <row r="117" spans="2:12">
      <c r="B117" t="s">
        <v>423</v>
      </c>
      <c r="C117" t="s">
        <v>530</v>
      </c>
      <c r="D117" t="s">
        <v>530</v>
      </c>
      <c r="J117" t="s">
        <v>558</v>
      </c>
      <c r="K117" t="s">
        <v>665</v>
      </c>
      <c r="L117" t="s">
        <v>665</v>
      </c>
    </row>
    <row r="118" spans="2:12">
      <c r="B118" t="s">
        <v>423</v>
      </c>
      <c r="C118" t="s">
        <v>531</v>
      </c>
      <c r="D118" t="s">
        <v>531</v>
      </c>
      <c r="J118" t="s">
        <v>558</v>
      </c>
      <c r="K118" t="s">
        <v>666</v>
      </c>
      <c r="L118" t="s">
        <v>666</v>
      </c>
    </row>
    <row r="119" spans="2:12">
      <c r="B119" t="s">
        <v>423</v>
      </c>
      <c r="C119" t="s">
        <v>532</v>
      </c>
      <c r="D119" t="s">
        <v>532</v>
      </c>
      <c r="J119" t="s">
        <v>558</v>
      </c>
      <c r="K119" t="s">
        <v>667</v>
      </c>
      <c r="L119" t="s">
        <v>667</v>
      </c>
    </row>
    <row r="120" spans="2:12">
      <c r="B120" t="s">
        <v>423</v>
      </c>
      <c r="C120" t="s">
        <v>533</v>
      </c>
      <c r="D120" t="s">
        <v>533</v>
      </c>
      <c r="J120" t="s">
        <v>558</v>
      </c>
      <c r="K120" t="s">
        <v>668</v>
      </c>
      <c r="L120" t="s">
        <v>668</v>
      </c>
    </row>
    <row r="121" spans="2:12">
      <c r="B121" t="s">
        <v>423</v>
      </c>
      <c r="C121" t="s">
        <v>534</v>
      </c>
      <c r="D121" t="s">
        <v>534</v>
      </c>
      <c r="J121" t="s">
        <v>558</v>
      </c>
      <c r="K121" t="s">
        <v>669</v>
      </c>
      <c r="L121" t="s">
        <v>669</v>
      </c>
    </row>
    <row r="122" spans="2:12">
      <c r="B122" t="s">
        <v>423</v>
      </c>
      <c r="C122" t="s">
        <v>535</v>
      </c>
      <c r="D122" t="s">
        <v>535</v>
      </c>
      <c r="J122" t="s">
        <v>558</v>
      </c>
      <c r="K122" t="s">
        <v>670</v>
      </c>
      <c r="L122" t="s">
        <v>670</v>
      </c>
    </row>
    <row r="123" spans="2:12">
      <c r="B123" t="s">
        <v>423</v>
      </c>
      <c r="C123" t="s">
        <v>536</v>
      </c>
      <c r="D123" t="s">
        <v>536</v>
      </c>
      <c r="J123" t="s">
        <v>558</v>
      </c>
      <c r="K123" t="s">
        <v>671</v>
      </c>
      <c r="L123" t="s">
        <v>671</v>
      </c>
    </row>
    <row r="124" spans="2:12">
      <c r="B124" t="s">
        <v>423</v>
      </c>
      <c r="C124" t="s">
        <v>537</v>
      </c>
      <c r="D124" t="s">
        <v>537</v>
      </c>
      <c r="J124" t="s">
        <v>558</v>
      </c>
      <c r="K124" t="s">
        <v>672</v>
      </c>
      <c r="L124" t="s">
        <v>672</v>
      </c>
    </row>
    <row r="125" spans="2:12">
      <c r="B125" t="s">
        <v>423</v>
      </c>
      <c r="C125" t="s">
        <v>538</v>
      </c>
      <c r="D125" t="s">
        <v>538</v>
      </c>
      <c r="J125" t="s">
        <v>558</v>
      </c>
      <c r="K125" t="s">
        <v>673</v>
      </c>
      <c r="L125" t="s">
        <v>673</v>
      </c>
    </row>
    <row r="126" spans="2:12">
      <c r="B126" t="s">
        <v>423</v>
      </c>
      <c r="C126" t="s">
        <v>539</v>
      </c>
      <c r="D126" t="s">
        <v>539</v>
      </c>
      <c r="J126" t="s">
        <v>558</v>
      </c>
      <c r="K126" t="s">
        <v>674</v>
      </c>
      <c r="L126" t="s">
        <v>674</v>
      </c>
    </row>
    <row r="127" spans="2:12">
      <c r="B127" t="s">
        <v>423</v>
      </c>
      <c r="C127" t="s">
        <v>540</v>
      </c>
      <c r="D127" t="s">
        <v>540</v>
      </c>
      <c r="J127" t="s">
        <v>558</v>
      </c>
      <c r="K127" t="s">
        <v>675</v>
      </c>
      <c r="L127" t="s">
        <v>675</v>
      </c>
    </row>
    <row r="128" spans="2:12">
      <c r="B128" t="s">
        <v>423</v>
      </c>
      <c r="C128" t="s">
        <v>541</v>
      </c>
      <c r="D128" t="s">
        <v>541</v>
      </c>
      <c r="J128" t="s">
        <v>558</v>
      </c>
      <c r="K128" t="s">
        <v>676</v>
      </c>
      <c r="L128" t="s">
        <v>676</v>
      </c>
    </row>
    <row r="129" spans="2:12">
      <c r="B129" t="s">
        <v>423</v>
      </c>
      <c r="C129" t="s">
        <v>542</v>
      </c>
      <c r="D129" t="s">
        <v>542</v>
      </c>
      <c r="J129" t="s">
        <v>558</v>
      </c>
      <c r="K129" t="s">
        <v>677</v>
      </c>
      <c r="L129" t="s">
        <v>677</v>
      </c>
    </row>
    <row r="130" spans="2:12">
      <c r="B130" t="s">
        <v>423</v>
      </c>
      <c r="C130" t="s">
        <v>543</v>
      </c>
      <c r="D130" t="s">
        <v>543</v>
      </c>
      <c r="J130" t="s">
        <v>558</v>
      </c>
      <c r="K130" t="s">
        <v>678</v>
      </c>
      <c r="L130" t="s">
        <v>678</v>
      </c>
    </row>
    <row r="131" spans="2:12">
      <c r="B131" t="s">
        <v>423</v>
      </c>
      <c r="C131" t="s">
        <v>544</v>
      </c>
      <c r="D131" t="s">
        <v>544</v>
      </c>
      <c r="J131" t="s">
        <v>558</v>
      </c>
      <c r="K131" t="s">
        <v>679</v>
      </c>
      <c r="L131" t="s">
        <v>679</v>
      </c>
    </row>
    <row r="132" spans="2:12">
      <c r="B132" t="s">
        <v>423</v>
      </c>
      <c r="C132" t="s">
        <v>545</v>
      </c>
      <c r="D132" t="s">
        <v>545</v>
      </c>
      <c r="J132" t="s">
        <v>558</v>
      </c>
      <c r="K132" t="s">
        <v>680</v>
      </c>
      <c r="L132" t="s">
        <v>680</v>
      </c>
    </row>
    <row r="133" spans="2:12">
      <c r="B133" t="s">
        <v>423</v>
      </c>
      <c r="C133" t="s">
        <v>546</v>
      </c>
      <c r="D133" t="s">
        <v>546</v>
      </c>
      <c r="J133" t="s">
        <v>558</v>
      </c>
      <c r="K133" t="s">
        <v>681</v>
      </c>
      <c r="L133" t="s">
        <v>681</v>
      </c>
    </row>
    <row r="134" spans="2:12">
      <c r="B134" t="s">
        <v>423</v>
      </c>
      <c r="C134" t="s">
        <v>547</v>
      </c>
      <c r="D134" t="s">
        <v>547</v>
      </c>
      <c r="J134" t="s">
        <v>558</v>
      </c>
      <c r="K134" t="s">
        <v>682</v>
      </c>
      <c r="L134" t="s">
        <v>682</v>
      </c>
    </row>
    <row r="135" spans="2:12">
      <c r="B135" t="s">
        <v>423</v>
      </c>
      <c r="C135" t="s">
        <v>548</v>
      </c>
      <c r="D135" t="s">
        <v>548</v>
      </c>
      <c r="J135" t="s">
        <v>558</v>
      </c>
      <c r="K135" t="s">
        <v>683</v>
      </c>
      <c r="L135" t="s">
        <v>683</v>
      </c>
    </row>
    <row r="136" spans="2:12">
      <c r="B136" t="s">
        <v>423</v>
      </c>
      <c r="C136" t="s">
        <v>549</v>
      </c>
      <c r="D136" t="s">
        <v>549</v>
      </c>
      <c r="J136" t="s">
        <v>558</v>
      </c>
      <c r="K136" t="s">
        <v>684</v>
      </c>
      <c r="L136" t="s">
        <v>684</v>
      </c>
    </row>
    <row r="137" spans="2:12">
      <c r="B137" t="s">
        <v>423</v>
      </c>
      <c r="C137" t="s">
        <v>550</v>
      </c>
      <c r="D137" t="s">
        <v>550</v>
      </c>
      <c r="J137" t="s">
        <v>558</v>
      </c>
      <c r="K137" t="s">
        <v>685</v>
      </c>
      <c r="L137" t="s">
        <v>685</v>
      </c>
    </row>
    <row r="138" spans="2:12">
      <c r="B138" t="s">
        <v>423</v>
      </c>
      <c r="C138" t="s">
        <v>551</v>
      </c>
      <c r="D138" t="s">
        <v>551</v>
      </c>
      <c r="J138" t="s">
        <v>558</v>
      </c>
      <c r="K138" t="s">
        <v>686</v>
      </c>
      <c r="L138" t="s">
        <v>686</v>
      </c>
    </row>
    <row r="139" spans="2:12">
      <c r="B139" t="s">
        <v>423</v>
      </c>
      <c r="C139" t="s">
        <v>552</v>
      </c>
      <c r="D139" t="s">
        <v>552</v>
      </c>
      <c r="J139" t="s">
        <v>558</v>
      </c>
      <c r="K139" t="s">
        <v>687</v>
      </c>
      <c r="L139" t="s">
        <v>687</v>
      </c>
    </row>
    <row r="140" spans="2:12">
      <c r="B140" t="s">
        <v>423</v>
      </c>
      <c r="C140" t="s">
        <v>553</v>
      </c>
      <c r="D140" t="s">
        <v>553</v>
      </c>
      <c r="J140" t="s">
        <v>558</v>
      </c>
      <c r="K140" t="s">
        <v>688</v>
      </c>
      <c r="L140" t="s">
        <v>688</v>
      </c>
    </row>
    <row r="141" spans="2:12">
      <c r="B141" t="s">
        <v>423</v>
      </c>
      <c r="C141" t="s">
        <v>554</v>
      </c>
      <c r="D141" t="s">
        <v>554</v>
      </c>
      <c r="J141" t="s">
        <v>558</v>
      </c>
      <c r="K141" t="s">
        <v>689</v>
      </c>
      <c r="L141" t="s">
        <v>689</v>
      </c>
    </row>
    <row r="142" spans="2:12">
      <c r="B142" t="s">
        <v>423</v>
      </c>
      <c r="C142" t="s">
        <v>555</v>
      </c>
      <c r="D142" t="s">
        <v>555</v>
      </c>
      <c r="J142" t="s">
        <v>558</v>
      </c>
      <c r="K142" t="s">
        <v>690</v>
      </c>
      <c r="L142" t="s">
        <v>690</v>
      </c>
    </row>
    <row r="143" spans="2:12">
      <c r="B143" t="s">
        <v>423</v>
      </c>
      <c r="C143" t="s">
        <v>556</v>
      </c>
      <c r="D143" t="s">
        <v>556</v>
      </c>
      <c r="J143" t="s">
        <v>558</v>
      </c>
      <c r="K143" t="s">
        <v>691</v>
      </c>
      <c r="L143" t="s">
        <v>691</v>
      </c>
    </row>
    <row r="144" spans="2:12">
      <c r="B144" t="s">
        <v>423</v>
      </c>
      <c r="C144" t="s">
        <v>557</v>
      </c>
      <c r="D144" t="s">
        <v>557</v>
      </c>
      <c r="J144" t="s">
        <v>558</v>
      </c>
      <c r="K144" t="s">
        <v>692</v>
      </c>
      <c r="L144" t="s">
        <v>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2"/>
  <sheetViews>
    <sheetView zoomScaleNormal="100" workbookViewId="0">
      <pane ySplit="2" topLeftCell="A3" activePane="bottomLeft" state="frozen"/>
      <selection pane="bottomLeft" activeCell="F22" sqref="F22"/>
    </sheetView>
  </sheetViews>
  <sheetFormatPr defaultColWidth="9.140625" defaultRowHeight="15"/>
  <cols>
    <col min="1" max="1" width="13.85546875" bestFit="1" customWidth="1"/>
    <col min="2" max="2" width="13.7109375" bestFit="1" customWidth="1"/>
    <col min="3" max="4" width="16.85546875" bestFit="1" customWidth="1"/>
    <col min="5" max="5" width="8.5703125" bestFit="1" customWidth="1"/>
    <col min="6" max="6" width="7.85546875" bestFit="1" customWidth="1"/>
    <col min="7" max="7" width="8.7109375" bestFit="1" customWidth="1"/>
    <col min="8" max="8" width="17.28515625" bestFit="1" customWidth="1"/>
    <col min="9" max="9" width="12.7109375" bestFit="1" customWidth="1"/>
    <col min="10" max="10" width="8.5703125" bestFit="1" customWidth="1"/>
    <col min="11" max="12" width="8.7109375" bestFit="1" customWidth="1"/>
    <col min="13" max="13" width="9.28515625" bestFit="1" customWidth="1"/>
    <col min="14" max="14" width="15.140625" bestFit="1" customWidth="1"/>
    <col min="15" max="15" width="4.5703125" bestFit="1" customWidth="1"/>
    <col min="16" max="16" width="22.5703125" bestFit="1" customWidth="1"/>
    <col min="17" max="17" width="8.7109375" bestFit="1" customWidth="1"/>
    <col min="18" max="18" width="6.5703125" bestFit="1" customWidth="1"/>
    <col min="19" max="19" width="11.5703125" bestFit="1" customWidth="1"/>
    <col min="20" max="20" width="2.140625" bestFit="1" customWidth="1"/>
    <col min="21" max="21" width="13.85546875" bestFit="1" customWidth="1"/>
    <col min="24" max="24" width="14.42578125" bestFit="1" customWidth="1"/>
    <col min="25" max="25" width="12.7109375" bestFit="1" customWidth="1"/>
    <col min="26" max="26" width="107.7109375" bestFit="1" customWidth="1"/>
  </cols>
  <sheetData>
    <row r="1" spans="1:21" ht="18" thickBot="1">
      <c r="A1" s="5" t="s">
        <v>21</v>
      </c>
    </row>
    <row r="2" spans="1:21" ht="16.5" thickTop="1" thickBot="1">
      <c r="A2" s="6" t="s">
        <v>11</v>
      </c>
      <c r="B2" s="6" t="s">
        <v>22</v>
      </c>
      <c r="C2" s="6" t="s">
        <v>12</v>
      </c>
      <c r="D2" s="6" t="s">
        <v>13</v>
      </c>
      <c r="E2" s="6" t="s">
        <v>17</v>
      </c>
      <c r="F2" s="6" t="s">
        <v>18</v>
      </c>
      <c r="G2" s="6" t="s">
        <v>19</v>
      </c>
      <c r="H2" s="6" t="s">
        <v>14</v>
      </c>
      <c r="I2" s="6" t="s">
        <v>15</v>
      </c>
      <c r="J2" s="6" t="s">
        <v>16</v>
      </c>
      <c r="K2" s="6" t="s">
        <v>0</v>
      </c>
      <c r="L2" s="6" t="s">
        <v>6</v>
      </c>
      <c r="M2" s="6" t="s">
        <v>23</v>
      </c>
      <c r="N2" s="6" t="s">
        <v>2</v>
      </c>
      <c r="O2" s="6" t="s">
        <v>1</v>
      </c>
      <c r="P2" s="6" t="s">
        <v>10</v>
      </c>
      <c r="Q2" s="6" t="s">
        <v>58</v>
      </c>
      <c r="R2" s="6" t="s">
        <v>59</v>
      </c>
    </row>
    <row r="3" spans="1:21">
      <c r="A3" t="s">
        <v>7</v>
      </c>
      <c r="C3" t="s">
        <v>115</v>
      </c>
      <c r="D3" s="2" t="s">
        <v>157</v>
      </c>
      <c r="K3" t="s">
        <v>8</v>
      </c>
      <c r="N3" t="s">
        <v>70</v>
      </c>
    </row>
    <row r="4" spans="1:21">
      <c r="A4" t="s">
        <v>36</v>
      </c>
      <c r="C4" t="s">
        <v>115</v>
      </c>
      <c r="D4" s="2" t="s">
        <v>157</v>
      </c>
      <c r="K4" t="s">
        <v>8</v>
      </c>
      <c r="N4" t="s">
        <v>79</v>
      </c>
      <c r="T4" s="8" t="s">
        <v>43</v>
      </c>
      <c r="U4" s="8"/>
    </row>
    <row r="5" spans="1:21">
      <c r="A5" t="s">
        <v>5</v>
      </c>
      <c r="C5" t="s">
        <v>116</v>
      </c>
      <c r="D5" s="2" t="s">
        <v>157</v>
      </c>
      <c r="I5" t="s">
        <v>387</v>
      </c>
      <c r="K5" t="s">
        <v>80</v>
      </c>
      <c r="N5" t="s">
        <v>81</v>
      </c>
      <c r="T5" s="3" t="s">
        <v>44</v>
      </c>
      <c r="U5" s="3" t="s">
        <v>52</v>
      </c>
    </row>
    <row r="6" spans="1:21">
      <c r="A6" t="s">
        <v>60</v>
      </c>
      <c r="C6" t="s">
        <v>143</v>
      </c>
      <c r="D6" s="2"/>
      <c r="H6" t="s">
        <v>26</v>
      </c>
      <c r="I6" s="2" t="s">
        <v>99</v>
      </c>
      <c r="K6" t="s">
        <v>86</v>
      </c>
      <c r="N6" t="s">
        <v>42</v>
      </c>
      <c r="Q6" t="s">
        <v>118</v>
      </c>
      <c r="T6" s="3"/>
      <c r="U6" s="3"/>
    </row>
    <row r="7" spans="1:21">
      <c r="A7" t="s">
        <v>5</v>
      </c>
      <c r="I7" s="2" t="s">
        <v>125</v>
      </c>
      <c r="K7" t="s">
        <v>127</v>
      </c>
      <c r="N7" t="s">
        <v>129</v>
      </c>
      <c r="T7" s="3"/>
      <c r="U7" s="3"/>
    </row>
    <row r="8" spans="1:21">
      <c r="A8" t="s">
        <v>5</v>
      </c>
      <c r="I8" s="2" t="s">
        <v>126</v>
      </c>
      <c r="K8" t="s">
        <v>128</v>
      </c>
      <c r="N8" t="s">
        <v>130</v>
      </c>
      <c r="T8" s="3"/>
      <c r="U8" s="3"/>
    </row>
    <row r="9" spans="1:21">
      <c r="A9" t="s">
        <v>30</v>
      </c>
      <c r="C9" t="s">
        <v>115</v>
      </c>
      <c r="D9" s="2" t="s">
        <v>117</v>
      </c>
      <c r="K9" t="s">
        <v>291</v>
      </c>
      <c r="N9" t="s">
        <v>82</v>
      </c>
    </row>
    <row r="10" spans="1:21">
      <c r="A10" s="4" t="s">
        <v>29</v>
      </c>
      <c r="B10" s="4" t="s">
        <v>56</v>
      </c>
      <c r="H10" t="s">
        <v>26</v>
      </c>
      <c r="K10" t="s">
        <v>83</v>
      </c>
      <c r="N10" t="s">
        <v>45</v>
      </c>
      <c r="P10" t="s">
        <v>46</v>
      </c>
      <c r="Q10" t="s">
        <v>47</v>
      </c>
    </row>
    <row r="11" spans="1:21">
      <c r="A11" s="4" t="s">
        <v>29</v>
      </c>
      <c r="B11" s="4" t="s">
        <v>56</v>
      </c>
      <c r="I11" t="s">
        <v>139</v>
      </c>
      <c r="K11" t="s">
        <v>140</v>
      </c>
      <c r="N11" t="s">
        <v>141</v>
      </c>
    </row>
    <row r="12" spans="1:21">
      <c r="A12" t="s">
        <v>48</v>
      </c>
      <c r="K12" t="s">
        <v>84</v>
      </c>
      <c r="N12" t="s">
        <v>49</v>
      </c>
      <c r="P12" t="s">
        <v>51</v>
      </c>
      <c r="Q12" t="s">
        <v>50</v>
      </c>
    </row>
    <row r="13" spans="1:21">
      <c r="A13" s="4" t="s">
        <v>57</v>
      </c>
      <c r="B13" s="4" t="s">
        <v>36</v>
      </c>
      <c r="K13" t="s">
        <v>83</v>
      </c>
      <c r="N13" t="s">
        <v>61</v>
      </c>
      <c r="Q13" t="s">
        <v>44</v>
      </c>
    </row>
    <row r="14" spans="1:21">
      <c r="A14" s="4" t="s">
        <v>289</v>
      </c>
      <c r="K14" t="s">
        <v>291</v>
      </c>
      <c r="N14" t="s">
        <v>292</v>
      </c>
      <c r="Q14" t="s">
        <v>50</v>
      </c>
    </row>
    <row r="15" spans="1:21">
      <c r="A15" s="4" t="s">
        <v>290</v>
      </c>
      <c r="K15" t="s">
        <v>291</v>
      </c>
      <c r="N15" t="s">
        <v>293</v>
      </c>
      <c r="Q15" t="s">
        <v>50</v>
      </c>
    </row>
    <row r="16" spans="1:21">
      <c r="A16" t="s">
        <v>7</v>
      </c>
      <c r="C16" t="s">
        <v>388</v>
      </c>
      <c r="D16" t="s">
        <v>389</v>
      </c>
      <c r="K16" t="s">
        <v>8</v>
      </c>
      <c r="N16" t="s">
        <v>390</v>
      </c>
    </row>
    <row r="17" spans="1:17">
      <c r="A17" t="s">
        <v>36</v>
      </c>
      <c r="C17" t="s">
        <v>388</v>
      </c>
      <c r="D17" t="s">
        <v>389</v>
      </c>
      <c r="K17" t="s">
        <v>8</v>
      </c>
      <c r="N17" t="s">
        <v>391</v>
      </c>
    </row>
    <row r="18" spans="1:17">
      <c r="A18" s="4" t="s">
        <v>161</v>
      </c>
      <c r="D18" t="s">
        <v>397</v>
      </c>
      <c r="I18" t="s">
        <v>398</v>
      </c>
      <c r="K18" t="s">
        <v>80</v>
      </c>
      <c r="N18" t="s">
        <v>162</v>
      </c>
    </row>
    <row r="19" spans="1:17">
      <c r="A19" t="s">
        <v>161</v>
      </c>
      <c r="I19" t="s">
        <v>400</v>
      </c>
      <c r="K19" t="s">
        <v>80</v>
      </c>
      <c r="N19" t="s">
        <v>418</v>
      </c>
      <c r="P19" t="s">
        <v>415</v>
      </c>
      <c r="Q19" t="s">
        <v>399</v>
      </c>
    </row>
    <row r="20" spans="1:17">
      <c r="A20" t="s">
        <v>5</v>
      </c>
      <c r="I20" t="s">
        <v>400</v>
      </c>
      <c r="K20" t="s">
        <v>80</v>
      </c>
      <c r="N20" t="s">
        <v>419</v>
      </c>
      <c r="P20" t="s">
        <v>415</v>
      </c>
      <c r="Q20" t="s">
        <v>399</v>
      </c>
    </row>
    <row r="21" spans="1:17">
      <c r="A21" t="s">
        <v>7</v>
      </c>
      <c r="F21" t="s">
        <v>422</v>
      </c>
      <c r="G21" t="s">
        <v>422</v>
      </c>
      <c r="K21" t="s">
        <v>8</v>
      </c>
      <c r="N21" t="s">
        <v>420</v>
      </c>
      <c r="P21" t="s">
        <v>416</v>
      </c>
      <c r="Q21" t="s">
        <v>44</v>
      </c>
    </row>
    <row r="22" spans="1:17">
      <c r="A22" t="s">
        <v>36</v>
      </c>
      <c r="F22" t="s">
        <v>422</v>
      </c>
      <c r="G22" t="s">
        <v>422</v>
      </c>
      <c r="K22" t="s">
        <v>8</v>
      </c>
      <c r="N22" t="s">
        <v>421</v>
      </c>
      <c r="P22" t="s">
        <v>417</v>
      </c>
      <c r="Q22" t="s">
        <v>44</v>
      </c>
    </row>
  </sheetData>
  <mergeCells count="1">
    <mergeCell ref="T4:U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5"/>
  <cols>
    <col min="3" max="3" width="17.5703125" bestFit="1" customWidth="1"/>
    <col min="4" max="4" width="17.85546875" bestFit="1" customWidth="1"/>
    <col min="5" max="5" width="24.140625" bestFit="1" customWidth="1"/>
    <col min="6" max="6" width="9" bestFit="1" customWidth="1"/>
    <col min="7" max="7" width="8.140625" bestFit="1" customWidth="1"/>
    <col min="8" max="8" width="5.85546875" bestFit="1" customWidth="1"/>
    <col min="9" max="9" width="10.140625" bestFit="1" customWidth="1"/>
    <col min="10" max="10" width="10.28515625" bestFit="1" customWidth="1"/>
    <col min="11" max="11" width="12.42578125" bestFit="1" customWidth="1"/>
  </cols>
  <sheetData>
    <row r="1" spans="3:11">
      <c r="C1" t="s">
        <v>103</v>
      </c>
    </row>
    <row r="2" spans="3:11">
      <c r="C2" t="s">
        <v>104</v>
      </c>
      <c r="D2" t="s">
        <v>105</v>
      </c>
      <c r="E2" s="1" t="s">
        <v>2</v>
      </c>
      <c r="F2" t="s">
        <v>0</v>
      </c>
      <c r="G2" t="s">
        <v>58</v>
      </c>
      <c r="H2" t="s">
        <v>106</v>
      </c>
      <c r="I2" t="s">
        <v>107</v>
      </c>
      <c r="J2" t="s">
        <v>108</v>
      </c>
      <c r="K2" t="s">
        <v>10</v>
      </c>
    </row>
    <row r="3" spans="3:11">
      <c r="C3" t="s">
        <v>81</v>
      </c>
      <c r="D3" t="s">
        <v>70</v>
      </c>
      <c r="E3" s="7" t="s">
        <v>109</v>
      </c>
      <c r="F3" t="s">
        <v>110</v>
      </c>
      <c r="G3" t="s">
        <v>44</v>
      </c>
      <c r="I3" t="s">
        <v>111</v>
      </c>
      <c r="J3" t="s">
        <v>44</v>
      </c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5"/>
  <cols>
    <col min="1" max="19" width="19.28515625" customWidth="1"/>
  </cols>
  <sheetData>
    <row r="3" spans="1:19" ht="18" thickBot="1">
      <c r="A3" s="5" t="s">
        <v>294</v>
      </c>
    </row>
    <row r="4" spans="1:19" ht="16.5" thickTop="1" thickBot="1">
      <c r="A4" s="6" t="s">
        <v>11</v>
      </c>
      <c r="B4" s="6" t="s">
        <v>12</v>
      </c>
      <c r="C4" s="6" t="s">
        <v>13</v>
      </c>
      <c r="D4" s="6" t="s">
        <v>17</v>
      </c>
      <c r="E4" s="6" t="s">
        <v>18</v>
      </c>
      <c r="F4" s="6" t="s">
        <v>19</v>
      </c>
      <c r="G4" s="6" t="s">
        <v>14</v>
      </c>
      <c r="H4" s="6" t="s">
        <v>15</v>
      </c>
      <c r="I4" s="6" t="s">
        <v>16</v>
      </c>
      <c r="J4" s="6" t="s">
        <v>0</v>
      </c>
      <c r="K4" s="6" t="s">
        <v>6</v>
      </c>
      <c r="L4" s="6" t="s">
        <v>23</v>
      </c>
      <c r="M4" s="6" t="s">
        <v>2</v>
      </c>
      <c r="N4" s="6" t="s">
        <v>1</v>
      </c>
      <c r="O4" s="6" t="s">
        <v>10</v>
      </c>
      <c r="P4" s="6" t="s">
        <v>58</v>
      </c>
      <c r="Q4" s="6" t="s">
        <v>106</v>
      </c>
      <c r="R4" s="6" t="s">
        <v>158</v>
      </c>
      <c r="S4" s="6" t="s">
        <v>159</v>
      </c>
    </row>
    <row r="5" spans="1:19">
      <c r="A5" t="s">
        <v>5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160</v>
      </c>
      <c r="M5" t="s">
        <v>192</v>
      </c>
      <c r="S5">
        <v>-1</v>
      </c>
    </row>
    <row r="6" spans="1:19">
      <c r="A6" t="s">
        <v>161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160</v>
      </c>
      <c r="M6" t="s">
        <v>193</v>
      </c>
      <c r="S6">
        <v>-1</v>
      </c>
    </row>
    <row r="10" spans="1:19" ht="18" thickBot="1">
      <c r="A10" s="5" t="s">
        <v>264</v>
      </c>
    </row>
    <row r="11" spans="1:19" ht="16.5" thickTop="1" thickBot="1">
      <c r="A11" s="6" t="s">
        <v>11</v>
      </c>
      <c r="B11" s="6" t="s">
        <v>12</v>
      </c>
      <c r="C11" s="6" t="s">
        <v>13</v>
      </c>
      <c r="D11" s="6" t="s">
        <v>17</v>
      </c>
      <c r="E11" s="6" t="s">
        <v>18</v>
      </c>
      <c r="F11" s="6" t="s">
        <v>19</v>
      </c>
      <c r="G11" s="6" t="s">
        <v>14</v>
      </c>
      <c r="H11" s="6" t="s">
        <v>15</v>
      </c>
      <c r="I11" s="6" t="s">
        <v>16</v>
      </c>
      <c r="J11" s="6" t="s">
        <v>0</v>
      </c>
      <c r="K11" s="6" t="s">
        <v>6</v>
      </c>
      <c r="L11" s="6" t="s">
        <v>23</v>
      </c>
      <c r="M11" s="6" t="s">
        <v>2</v>
      </c>
      <c r="N11" s="6" t="s">
        <v>1</v>
      </c>
      <c r="O11" s="6" t="s">
        <v>10</v>
      </c>
      <c r="P11" s="6" t="s">
        <v>58</v>
      </c>
      <c r="Q11" s="6" t="s">
        <v>106</v>
      </c>
      <c r="R11" s="6" t="s">
        <v>158</v>
      </c>
      <c r="S11" s="6" t="s">
        <v>159</v>
      </c>
    </row>
    <row r="12" spans="1:19">
      <c r="A12" t="s">
        <v>120</v>
      </c>
      <c r="B12" s="4" t="s">
        <v>278</v>
      </c>
    </row>
    <row r="13" spans="1:19">
      <c r="A13" t="s">
        <v>5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160</v>
      </c>
      <c r="M13" t="s">
        <v>273</v>
      </c>
      <c r="S13">
        <v>-1</v>
      </c>
    </row>
    <row r="14" spans="1:19">
      <c r="A14" t="s">
        <v>161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160</v>
      </c>
      <c r="M14" t="s">
        <v>274</v>
      </c>
      <c r="S14">
        <v>-1</v>
      </c>
    </row>
    <row r="15" spans="1:19">
      <c r="A15" t="s">
        <v>120</v>
      </c>
      <c r="B15" s="4" t="s">
        <v>275</v>
      </c>
    </row>
    <row r="16" spans="1:19">
      <c r="A16" t="s">
        <v>5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160</v>
      </c>
      <c r="M16" t="s">
        <v>281</v>
      </c>
      <c r="S16">
        <v>-1</v>
      </c>
    </row>
    <row r="17" spans="1:19">
      <c r="A17" t="s">
        <v>161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160</v>
      </c>
      <c r="M17" t="s">
        <v>282</v>
      </c>
      <c r="S17">
        <v>-1</v>
      </c>
    </row>
    <row r="18" spans="1:19">
      <c r="A18" t="s">
        <v>120</v>
      </c>
      <c r="B18" s="4" t="s">
        <v>276</v>
      </c>
    </row>
    <row r="19" spans="1:19">
      <c r="A19" t="s">
        <v>5</v>
      </c>
      <c r="F19" t="str">
        <f>H19</f>
        <v>hydrogen</v>
      </c>
      <c r="H19" t="s">
        <v>185</v>
      </c>
      <c r="J19" t="s">
        <v>160</v>
      </c>
      <c r="M19" t="s">
        <v>273</v>
      </c>
      <c r="S19">
        <v>-1</v>
      </c>
    </row>
    <row r="20" spans="1:19">
      <c r="A20" t="s">
        <v>161</v>
      </c>
      <c r="F20" t="s">
        <v>185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160</v>
      </c>
      <c r="M20" t="s">
        <v>283</v>
      </c>
      <c r="S20">
        <v>-1</v>
      </c>
    </row>
    <row r="23" spans="1:19">
      <c r="A23" t="s">
        <v>161</v>
      </c>
      <c r="E23" t="s">
        <v>185</v>
      </c>
      <c r="H23" t="s">
        <v>185</v>
      </c>
      <c r="J23" t="s">
        <v>160</v>
      </c>
      <c r="M23" t="s">
        <v>277</v>
      </c>
      <c r="S23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40625" defaultRowHeight="15"/>
  <cols>
    <col min="1" max="1" width="15.28515625" bestFit="1" customWidth="1"/>
    <col min="2" max="3" width="11.5703125" bestFit="1" customWidth="1"/>
    <col min="6" max="6" width="11" bestFit="1" customWidth="1"/>
  </cols>
  <sheetData>
    <row r="1" spans="1:3">
      <c r="A1" s="1" t="s">
        <v>24</v>
      </c>
    </row>
    <row r="2" spans="1:3">
      <c r="A2" t="s">
        <v>25</v>
      </c>
      <c r="B2" t="s">
        <v>1</v>
      </c>
      <c r="C2" t="s">
        <v>10</v>
      </c>
    </row>
    <row r="3" spans="1:3">
      <c r="A3" t="s">
        <v>87</v>
      </c>
      <c r="B3" t="str">
        <f>A3</f>
        <v>CCGT</v>
      </c>
    </row>
    <row r="4" spans="1:3">
      <c r="A4" t="s">
        <v>88</v>
      </c>
      <c r="B4" t="str">
        <f t="shared" ref="B4:B47" si="0">A4</f>
        <v>Int Comb</v>
      </c>
    </row>
    <row r="5" spans="1:3">
      <c r="A5" t="s">
        <v>89</v>
      </c>
      <c r="B5" t="str">
        <f t="shared" si="0"/>
        <v>Gas_Oil Steam</v>
      </c>
    </row>
    <row r="6" spans="1:3">
      <c r="A6" t="s">
        <v>90</v>
      </c>
      <c r="B6" t="str">
        <f t="shared" si="0"/>
        <v>OCGT (Peaker)</v>
      </c>
    </row>
    <row r="7" spans="1:3">
      <c r="A7" t="s">
        <v>91</v>
      </c>
      <c r="B7" t="str">
        <f t="shared" si="0"/>
        <v>Subcritical Coal</v>
      </c>
    </row>
    <row r="8" spans="1:3">
      <c r="A8" t="s">
        <v>92</v>
      </c>
      <c r="B8" t="str">
        <f t="shared" si="0"/>
        <v>Supercritical Coal</v>
      </c>
    </row>
    <row r="9" spans="1:3">
      <c r="A9" t="s">
        <v>93</v>
      </c>
      <c r="B9" t="str">
        <f t="shared" si="0"/>
        <v>IGCC</v>
      </c>
    </row>
    <row r="10" spans="1:3">
      <c r="A10" t="s">
        <v>195</v>
      </c>
      <c r="B10" t="str">
        <f t="shared" si="0"/>
        <v>Bio Power</v>
      </c>
    </row>
    <row r="11" spans="1:3">
      <c r="A11" t="s">
        <v>196</v>
      </c>
      <c r="B11" t="str">
        <f t="shared" si="0"/>
        <v>Solar Util</v>
      </c>
    </row>
    <row r="12" spans="1:3">
      <c r="A12" t="s">
        <v>94</v>
      </c>
      <c r="B12" t="s">
        <v>279</v>
      </c>
    </row>
    <row r="13" spans="1:3">
      <c r="A13" t="s">
        <v>95</v>
      </c>
      <c r="B13" t="s">
        <v>280</v>
      </c>
    </row>
    <row r="14" spans="1:3">
      <c r="A14" t="s">
        <v>197</v>
      </c>
      <c r="B14" t="str">
        <f t="shared" si="0"/>
        <v>Geothermal P</v>
      </c>
    </row>
    <row r="15" spans="1:3">
      <c r="A15" t="s">
        <v>201</v>
      </c>
      <c r="B15" t="str">
        <f t="shared" si="0"/>
        <v>Hydro Dam</v>
      </c>
    </row>
    <row r="16" spans="1:3">
      <c r="A16" t="s">
        <v>198</v>
      </c>
      <c r="B16" t="str">
        <f t="shared" si="0"/>
        <v>Hydro RoR</v>
      </c>
    </row>
    <row r="17" spans="1:2">
      <c r="A17" t="s">
        <v>199</v>
      </c>
      <c r="B17" t="str">
        <f t="shared" si="0"/>
        <v>Nuclear P</v>
      </c>
    </row>
    <row r="18" spans="1:2">
      <c r="A18" t="s">
        <v>200</v>
      </c>
      <c r="B18" t="str">
        <f t="shared" si="0"/>
        <v>Nuclear SMR</v>
      </c>
    </row>
    <row r="19" spans="1:2">
      <c r="A19" t="s">
        <v>96</v>
      </c>
      <c r="B19" t="str">
        <f t="shared" si="0"/>
        <v>Hydro pumped stg</v>
      </c>
    </row>
    <row r="20" spans="1:2">
      <c r="A20" t="s">
        <v>97</v>
      </c>
      <c r="B20" t="str">
        <f t="shared" si="0"/>
        <v>Util Batt Stg</v>
      </c>
    </row>
    <row r="21" spans="1:2">
      <c r="A21" t="s">
        <v>98</v>
      </c>
      <c r="B21" t="str">
        <f t="shared" si="0"/>
        <v>EV Batt</v>
      </c>
    </row>
    <row r="22" spans="1:2">
      <c r="A22" t="s">
        <v>162</v>
      </c>
      <c r="B22" t="str">
        <f t="shared" si="0"/>
        <v>Demand</v>
      </c>
    </row>
    <row r="23" spans="1:2">
      <c r="A23" t="s">
        <v>228</v>
      </c>
      <c r="B23" t="str">
        <f t="shared" si="0"/>
        <v>Transformers Dn</v>
      </c>
    </row>
    <row r="24" spans="1:2">
      <c r="A24" t="s">
        <v>229</v>
      </c>
      <c r="B24" t="str">
        <f t="shared" si="0"/>
        <v>Transformers Up</v>
      </c>
    </row>
    <row r="25" spans="1:2">
      <c r="A25" t="s">
        <v>205</v>
      </c>
      <c r="B25" t="str">
        <f t="shared" si="0"/>
        <v>Grid-220V</v>
      </c>
    </row>
    <row r="26" spans="1:2">
      <c r="A26" t="s">
        <v>206</v>
      </c>
      <c r="B26" t="str">
        <f t="shared" si="0"/>
        <v>Grid-400V</v>
      </c>
    </row>
    <row r="27" spans="1:2">
      <c r="A27" t="s">
        <v>207</v>
      </c>
      <c r="B27" t="str">
        <f t="shared" si="0"/>
        <v>Grid-380V</v>
      </c>
    </row>
    <row r="28" spans="1:2">
      <c r="A28" t="s">
        <v>208</v>
      </c>
      <c r="B28" t="str">
        <f t="shared" si="0"/>
        <v>Grid-225V</v>
      </c>
    </row>
    <row r="29" spans="1:2">
      <c r="A29" t="s">
        <v>209</v>
      </c>
      <c r="B29" t="str">
        <f t="shared" si="0"/>
        <v>Grid-330V</v>
      </c>
    </row>
    <row r="30" spans="1:2">
      <c r="A30" t="s">
        <v>210</v>
      </c>
      <c r="B30" t="str">
        <f t="shared" si="0"/>
        <v>Grid-275V</v>
      </c>
    </row>
    <row r="31" spans="1:2">
      <c r="A31" t="s">
        <v>211</v>
      </c>
      <c r="B31" t="str">
        <f t="shared" si="0"/>
        <v>Grid-420V</v>
      </c>
    </row>
    <row r="32" spans="1:2">
      <c r="A32" t="s">
        <v>212</v>
      </c>
      <c r="B32" t="str">
        <f t="shared" si="0"/>
        <v>Grid-300V</v>
      </c>
    </row>
    <row r="33" spans="1:2">
      <c r="A33" t="s">
        <v>213</v>
      </c>
      <c r="B33" t="str">
        <f t="shared" si="0"/>
        <v>Grid-500V</v>
      </c>
    </row>
    <row r="34" spans="1:2">
      <c r="A34" t="s">
        <v>214</v>
      </c>
      <c r="B34" t="str">
        <f t="shared" si="0"/>
        <v>Grid-750V</v>
      </c>
    </row>
    <row r="35" spans="1:2">
      <c r="A35" t="s">
        <v>215</v>
      </c>
      <c r="B35" t="str">
        <f t="shared" si="0"/>
        <v>Grid-450V</v>
      </c>
    </row>
    <row r="36" spans="1:2">
      <c r="A36" t="s">
        <v>216</v>
      </c>
      <c r="B36" t="str">
        <f t="shared" si="0"/>
        <v>Grid-515V</v>
      </c>
    </row>
    <row r="37" spans="1:2">
      <c r="A37" t="s">
        <v>217</v>
      </c>
      <c r="B37" t="str">
        <f t="shared" si="0"/>
        <v>Grid-525V</v>
      </c>
    </row>
    <row r="38" spans="1:2">
      <c r="A38" t="s">
        <v>218</v>
      </c>
      <c r="B38" t="str">
        <f t="shared" si="0"/>
        <v>Grid-320V</v>
      </c>
    </row>
    <row r="39" spans="1:2">
      <c r="A39" t="s">
        <v>219</v>
      </c>
      <c r="B39" t="str">
        <f t="shared" si="0"/>
        <v>Grid-150V</v>
      </c>
    </row>
    <row r="40" spans="1:2">
      <c r="A40" t="s">
        <v>220</v>
      </c>
      <c r="B40" t="str">
        <f t="shared" si="0"/>
        <v>Grid-270V</v>
      </c>
    </row>
    <row r="41" spans="1:2">
      <c r="A41" t="s">
        <v>221</v>
      </c>
      <c r="B41" t="str">
        <f t="shared" si="0"/>
        <v>Grid-350V</v>
      </c>
    </row>
    <row r="42" spans="1:2">
      <c r="A42" t="s">
        <v>222</v>
      </c>
      <c r="B42" t="str">
        <f t="shared" si="0"/>
        <v>Grid-250V</v>
      </c>
    </row>
    <row r="43" spans="1:2">
      <c r="A43" t="s">
        <v>223</v>
      </c>
      <c r="B43" t="str">
        <f t="shared" si="0"/>
        <v>Grid-200V</v>
      </c>
    </row>
    <row r="44" spans="1:2">
      <c r="A44" t="s">
        <v>224</v>
      </c>
      <c r="B44" t="str">
        <f t="shared" si="0"/>
        <v>Grid-236V</v>
      </c>
    </row>
    <row r="45" spans="1:2">
      <c r="A45" t="s">
        <v>225</v>
      </c>
      <c r="B45" t="str">
        <f t="shared" si="0"/>
        <v>Grid-600V</v>
      </c>
    </row>
    <row r="46" spans="1:2">
      <c r="A46" t="s">
        <v>226</v>
      </c>
      <c r="B46" t="str">
        <f t="shared" si="0"/>
        <v>Aggregators</v>
      </c>
    </row>
    <row r="47" spans="1:2">
      <c r="A47" t="s">
        <v>227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5"/>
  <cols>
    <col min="1" max="1" width="11" bestFit="1" customWidth="1"/>
  </cols>
  <sheetData>
    <row r="1" spans="1:3">
      <c r="A1" s="1" t="s">
        <v>71</v>
      </c>
    </row>
    <row r="2" spans="1:3">
      <c r="A2" t="s">
        <v>72</v>
      </c>
      <c r="B2" t="s">
        <v>1</v>
      </c>
      <c r="C2" t="s">
        <v>10</v>
      </c>
    </row>
    <row r="3" spans="1:3">
      <c r="A3" t="s">
        <v>163</v>
      </c>
      <c r="B3" t="str">
        <f>A3</f>
        <v>Elec-220V</v>
      </c>
    </row>
    <row r="4" spans="1:3">
      <c r="A4" t="s">
        <v>164</v>
      </c>
      <c r="B4" t="str">
        <f t="shared" ref="B4:B23" si="0">A4</f>
        <v>Elec-400V</v>
      </c>
    </row>
    <row r="5" spans="1:3">
      <c r="A5" t="s">
        <v>165</v>
      </c>
      <c r="B5" t="str">
        <f t="shared" si="0"/>
        <v>Elec-380V</v>
      </c>
    </row>
    <row r="6" spans="1:3">
      <c r="A6" t="s">
        <v>166</v>
      </c>
      <c r="B6" t="str">
        <f t="shared" si="0"/>
        <v>Elec-225V</v>
      </c>
    </row>
    <row r="7" spans="1:3">
      <c r="A7" t="s">
        <v>167</v>
      </c>
      <c r="B7" t="str">
        <f t="shared" si="0"/>
        <v>Elec-330V</v>
      </c>
    </row>
    <row r="8" spans="1:3">
      <c r="A8" t="s">
        <v>168</v>
      </c>
      <c r="B8" t="str">
        <f t="shared" si="0"/>
        <v>Elec-275V</v>
      </c>
    </row>
    <row r="9" spans="1:3">
      <c r="A9" t="s">
        <v>169</v>
      </c>
      <c r="B9" t="str">
        <f t="shared" si="0"/>
        <v>Elec-420V</v>
      </c>
    </row>
    <row r="10" spans="1:3">
      <c r="A10" t="s">
        <v>170</v>
      </c>
      <c r="B10" t="str">
        <f t="shared" si="0"/>
        <v>Elec-300V</v>
      </c>
    </row>
    <row r="11" spans="1:3">
      <c r="A11" t="s">
        <v>171</v>
      </c>
      <c r="B11" t="str">
        <f t="shared" si="0"/>
        <v>Elec-500V</v>
      </c>
    </row>
    <row r="12" spans="1:3">
      <c r="A12" t="s">
        <v>172</v>
      </c>
      <c r="B12" t="str">
        <f t="shared" si="0"/>
        <v>Elec-750V</v>
      </c>
    </row>
    <row r="13" spans="1:3">
      <c r="A13" t="s">
        <v>173</v>
      </c>
      <c r="B13" t="str">
        <f t="shared" si="0"/>
        <v>Elec-450V</v>
      </c>
    </row>
    <row r="14" spans="1:3">
      <c r="A14" t="s">
        <v>174</v>
      </c>
      <c r="B14" t="str">
        <f t="shared" si="0"/>
        <v>Elec-515V</v>
      </c>
    </row>
    <row r="15" spans="1:3">
      <c r="A15" t="s">
        <v>175</v>
      </c>
      <c r="B15" t="str">
        <f t="shared" si="0"/>
        <v>Elec-525V</v>
      </c>
    </row>
    <row r="16" spans="1:3">
      <c r="A16" t="s">
        <v>176</v>
      </c>
      <c r="B16" t="str">
        <f t="shared" si="0"/>
        <v>Elec-320V</v>
      </c>
    </row>
    <row r="17" spans="1:2">
      <c r="A17" t="s">
        <v>177</v>
      </c>
      <c r="B17" t="str">
        <f t="shared" si="0"/>
        <v>Elec-150V</v>
      </c>
    </row>
    <row r="18" spans="1:2">
      <c r="A18" t="s">
        <v>178</v>
      </c>
      <c r="B18" t="str">
        <f t="shared" si="0"/>
        <v>Elec-270V</v>
      </c>
    </row>
    <row r="19" spans="1:2">
      <c r="A19" t="s">
        <v>179</v>
      </c>
      <c r="B19" t="str">
        <f t="shared" si="0"/>
        <v>Elec-350V</v>
      </c>
    </row>
    <row r="20" spans="1:2">
      <c r="A20" t="s">
        <v>180</v>
      </c>
      <c r="B20" t="str">
        <f t="shared" si="0"/>
        <v>Elec-250V</v>
      </c>
    </row>
    <row r="21" spans="1:2">
      <c r="A21" t="s">
        <v>181</v>
      </c>
      <c r="B21" t="str">
        <f t="shared" si="0"/>
        <v>Elec-200V</v>
      </c>
    </row>
    <row r="22" spans="1:2">
      <c r="A22" t="s">
        <v>182</v>
      </c>
      <c r="B22" t="str">
        <f t="shared" si="0"/>
        <v>Elec-236V</v>
      </c>
    </row>
    <row r="23" spans="1:2">
      <c r="A23" t="s">
        <v>183</v>
      </c>
      <c r="B23" t="str">
        <f t="shared" si="0"/>
        <v>Elec-600V</v>
      </c>
    </row>
    <row r="24" spans="1:2">
      <c r="A24" t="s">
        <v>202</v>
      </c>
      <c r="B24" t="s">
        <v>275</v>
      </c>
    </row>
    <row r="25" spans="1:2">
      <c r="A25" t="s">
        <v>203</v>
      </c>
      <c r="B25" t="s">
        <v>275</v>
      </c>
    </row>
    <row r="26" spans="1:2">
      <c r="A26" t="s">
        <v>185</v>
      </c>
      <c r="B26" t="str">
        <f t="shared" ref="B26" si="1">A26</f>
        <v>hydrogen</v>
      </c>
    </row>
    <row r="27" spans="1:2">
      <c r="A27" t="s">
        <v>187</v>
      </c>
      <c r="B27" t="s">
        <v>275</v>
      </c>
    </row>
    <row r="28" spans="1:2">
      <c r="A28" t="s">
        <v>188</v>
      </c>
      <c r="B28" t="str">
        <f t="shared" ref="B28:B35" si="2">A28</f>
        <v>buildings</v>
      </c>
    </row>
    <row r="29" spans="1:2">
      <c r="A29" t="s">
        <v>189</v>
      </c>
      <c r="B29" t="str">
        <f t="shared" si="2"/>
        <v>industry</v>
      </c>
    </row>
    <row r="30" spans="1:2">
      <c r="A30" t="s">
        <v>190</v>
      </c>
      <c r="B30" t="str">
        <f t="shared" si="2"/>
        <v>transport</v>
      </c>
    </row>
    <row r="31" spans="1:2">
      <c r="A31" t="s">
        <v>191</v>
      </c>
      <c r="B31" t="str">
        <f t="shared" si="2"/>
        <v>EVs</v>
      </c>
    </row>
    <row r="32" spans="1:2">
      <c r="A32" s="7" t="s">
        <v>194</v>
      </c>
      <c r="B32" s="7" t="str">
        <f t="shared" si="2"/>
        <v>fossil</v>
      </c>
    </row>
    <row r="33" spans="1:2">
      <c r="A33" s="7" t="s">
        <v>204</v>
      </c>
      <c r="B33" s="7" t="str">
        <f t="shared" si="2"/>
        <v>renewable</v>
      </c>
    </row>
    <row r="34" spans="1:2">
      <c r="A34" s="7" t="s">
        <v>184</v>
      </c>
      <c r="B34" s="7" t="str">
        <f t="shared" si="2"/>
        <v>bioenergy</v>
      </c>
    </row>
    <row r="35" spans="1:2">
      <c r="A35" s="7" t="s">
        <v>186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40625" defaultRowHeight="15"/>
  <cols>
    <col min="1" max="1" width="13.5703125" bestFit="1" customWidth="1"/>
    <col min="2" max="2" width="14.140625" bestFit="1" customWidth="1"/>
    <col min="3" max="3" width="36.42578125" bestFit="1" customWidth="1"/>
    <col min="6" max="6" width="11" bestFit="1" customWidth="1"/>
  </cols>
  <sheetData>
    <row r="1" spans="1:3">
      <c r="A1" s="1" t="s">
        <v>27</v>
      </c>
    </row>
    <row r="2" spans="1:3">
      <c r="A2" t="s">
        <v>28</v>
      </c>
      <c r="B2" t="s">
        <v>1</v>
      </c>
      <c r="C2" t="s">
        <v>10</v>
      </c>
    </row>
    <row r="3" spans="1:3">
      <c r="A3" t="s">
        <v>184</v>
      </c>
      <c r="B3" t="str">
        <f>A3</f>
        <v>bioenergy</v>
      </c>
    </row>
    <row r="4" spans="1:3">
      <c r="A4" t="s">
        <v>136</v>
      </c>
      <c r="B4" t="str">
        <f t="shared" ref="B4:B11" si="0">A4</f>
        <v>coal</v>
      </c>
    </row>
    <row r="5" spans="1:3">
      <c r="A5" t="s">
        <v>137</v>
      </c>
      <c r="B5" t="str">
        <f t="shared" si="0"/>
        <v>gas</v>
      </c>
    </row>
    <row r="6" spans="1:3">
      <c r="A6" t="s">
        <v>265</v>
      </c>
      <c r="B6" t="str">
        <f t="shared" si="0"/>
        <v>geothermal</v>
      </c>
    </row>
    <row r="7" spans="1:3">
      <c r="A7" t="s">
        <v>266</v>
      </c>
      <c r="B7" t="str">
        <f t="shared" si="0"/>
        <v>hydro</v>
      </c>
    </row>
    <row r="8" spans="1:3">
      <c r="A8" t="s">
        <v>185</v>
      </c>
      <c r="B8" t="str">
        <f t="shared" si="0"/>
        <v>hydrogen</v>
      </c>
    </row>
    <row r="9" spans="1:3">
      <c r="A9" t="s">
        <v>186</v>
      </c>
      <c r="B9" t="str">
        <f t="shared" si="0"/>
        <v>nuclear</v>
      </c>
    </row>
    <row r="10" spans="1:3">
      <c r="A10" t="s">
        <v>267</v>
      </c>
      <c r="B10" t="str">
        <f t="shared" si="0"/>
        <v>oil</v>
      </c>
    </row>
    <row r="11" spans="1:3">
      <c r="A11" t="s">
        <v>268</v>
      </c>
      <c r="B11" t="str">
        <f t="shared" si="0"/>
        <v>solar</v>
      </c>
    </row>
    <row r="12" spans="1:3">
      <c r="A12" t="s">
        <v>269</v>
      </c>
      <c r="B12" t="s">
        <v>271</v>
      </c>
    </row>
    <row r="13" spans="1:3">
      <c r="A13" t="s">
        <v>270</v>
      </c>
      <c r="B13" t="s">
        <v>272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10"/>
  <sheetViews>
    <sheetView workbookViewId="0">
      <selection activeCell="A2" sqref="A2"/>
    </sheetView>
  </sheetViews>
  <sheetFormatPr defaultRowHeight="15"/>
  <cols>
    <col min="1" max="1" width="13.140625" bestFit="1" customWidth="1"/>
    <col min="2" max="2" width="6.140625" bestFit="1" customWidth="1"/>
    <col min="3" max="3" width="9.5703125" bestFit="1" customWidth="1"/>
  </cols>
  <sheetData>
    <row r="1" spans="1:3">
      <c r="A1" t="s">
        <v>156</v>
      </c>
    </row>
    <row r="2" spans="1:3">
      <c r="A2" t="s">
        <v>53</v>
      </c>
      <c r="B2" t="s">
        <v>54</v>
      </c>
      <c r="C2" t="s">
        <v>55</v>
      </c>
    </row>
    <row r="3" spans="1:3">
      <c r="A3" t="s">
        <v>148</v>
      </c>
      <c r="B3" t="s">
        <v>145</v>
      </c>
      <c r="C3" t="s">
        <v>146</v>
      </c>
    </row>
    <row r="4" spans="1:3">
      <c r="A4" t="s">
        <v>148</v>
      </c>
      <c r="B4" t="s">
        <v>144</v>
      </c>
      <c r="C4" t="s">
        <v>147</v>
      </c>
    </row>
    <row r="5" spans="1:3">
      <c r="A5" t="s">
        <v>149</v>
      </c>
      <c r="B5" t="s">
        <v>150</v>
      </c>
      <c r="C5" t="str">
        <f>LEFT(B5,2)</f>
        <v>S1</v>
      </c>
    </row>
    <row r="6" spans="1:3">
      <c r="A6" t="s">
        <v>149</v>
      </c>
      <c r="B6" t="s">
        <v>151</v>
      </c>
      <c r="C6" t="str">
        <f t="shared" ref="C6:C10" si="0">LEFT(B6,2)</f>
        <v>S2</v>
      </c>
    </row>
    <row r="7" spans="1:3">
      <c r="A7" t="s">
        <v>149</v>
      </c>
      <c r="B7" t="s">
        <v>152</v>
      </c>
      <c r="C7" t="str">
        <f t="shared" si="0"/>
        <v>S3</v>
      </c>
    </row>
    <row r="8" spans="1:3">
      <c r="A8" t="s">
        <v>149</v>
      </c>
      <c r="B8" t="s">
        <v>153</v>
      </c>
      <c r="C8" t="str">
        <f t="shared" si="0"/>
        <v>S4</v>
      </c>
    </row>
    <row r="9" spans="1:3">
      <c r="A9" t="s">
        <v>149</v>
      </c>
      <c r="B9" t="s">
        <v>154</v>
      </c>
      <c r="C9" t="str">
        <f t="shared" si="0"/>
        <v>S5</v>
      </c>
    </row>
    <row r="10" spans="1:3">
      <c r="A10" t="s">
        <v>149</v>
      </c>
      <c r="B10" t="s">
        <v>155</v>
      </c>
      <c r="C10" t="str">
        <f t="shared" si="0"/>
        <v>S6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66"/>
  <sheetViews>
    <sheetView workbookViewId="0">
      <pane ySplit="2" topLeftCell="A39" activePane="bottomLeft" state="frozen"/>
      <selection pane="bottomLeft" activeCell="A61" sqref="A61"/>
    </sheetView>
  </sheetViews>
  <sheetFormatPr defaultRowHeight="15"/>
  <cols>
    <col min="1" max="1" width="14.85546875" bestFit="1" customWidth="1"/>
    <col min="2" max="2" width="11" bestFit="1" customWidth="1"/>
    <col min="3" max="4" width="15.28515625" bestFit="1" customWidth="1"/>
    <col min="5" max="5" width="6.42578125" bestFit="1" customWidth="1"/>
    <col min="6" max="6" width="10.5703125" bestFit="1" customWidth="1"/>
    <col min="7" max="7" width="7.28515625" bestFit="1" customWidth="1"/>
  </cols>
  <sheetData>
    <row r="1" spans="1:7" ht="18" thickBot="1">
      <c r="A1" s="5" t="s">
        <v>64</v>
      </c>
    </row>
    <row r="2" spans="1:7" ht="16.5" thickTop="1" thickBot="1">
      <c r="A2" s="6" t="s">
        <v>53</v>
      </c>
      <c r="B2" s="6" t="s">
        <v>54</v>
      </c>
      <c r="C2" s="6" t="s">
        <v>55</v>
      </c>
      <c r="D2" s="6" t="s">
        <v>65</v>
      </c>
      <c r="E2" s="6" t="s">
        <v>66</v>
      </c>
      <c r="F2" s="6" t="s">
        <v>67</v>
      </c>
      <c r="G2" s="6" t="s">
        <v>68</v>
      </c>
    </row>
    <row r="3" spans="1:7">
      <c r="A3" t="s">
        <v>119</v>
      </c>
      <c r="B3" t="s">
        <v>120</v>
      </c>
      <c r="C3" t="s">
        <v>121</v>
      </c>
    </row>
    <row r="4" spans="1:7">
      <c r="A4" t="s">
        <v>119</v>
      </c>
      <c r="B4" t="s">
        <v>122</v>
      </c>
      <c r="C4" t="s">
        <v>123</v>
      </c>
    </row>
    <row r="5" spans="1:7">
      <c r="A5" t="s">
        <v>69</v>
      </c>
      <c r="C5" t="str">
        <f>D5</f>
        <v>CCGT</v>
      </c>
      <c r="D5" t="s">
        <v>87</v>
      </c>
    </row>
    <row r="6" spans="1:7">
      <c r="A6" t="s">
        <v>69</v>
      </c>
      <c r="C6" t="str">
        <f t="shared" ref="C6:C49" si="0">D6</f>
        <v>Int Comb</v>
      </c>
      <c r="D6" t="s">
        <v>88</v>
      </c>
    </row>
    <row r="7" spans="1:7">
      <c r="A7" t="s">
        <v>69</v>
      </c>
      <c r="C7" t="str">
        <f t="shared" si="0"/>
        <v>Gas_Oil Steam</v>
      </c>
      <c r="D7" t="s">
        <v>89</v>
      </c>
    </row>
    <row r="8" spans="1:7">
      <c r="A8" t="s">
        <v>69</v>
      </c>
      <c r="C8" t="str">
        <f t="shared" si="0"/>
        <v>OCGT (Peaker)</v>
      </c>
      <c r="D8" t="s">
        <v>90</v>
      </c>
    </row>
    <row r="9" spans="1:7">
      <c r="A9" t="s">
        <v>69</v>
      </c>
      <c r="C9" t="str">
        <f t="shared" si="0"/>
        <v>Subcritical Coal</v>
      </c>
      <c r="D9" t="s">
        <v>91</v>
      </c>
    </row>
    <row r="10" spans="1:7">
      <c r="A10" t="s">
        <v>69</v>
      </c>
      <c r="C10" t="str">
        <f t="shared" si="0"/>
        <v>Supercritical Coal</v>
      </c>
      <c r="D10" t="s">
        <v>92</v>
      </c>
    </row>
    <row r="11" spans="1:7">
      <c r="A11" t="s">
        <v>69</v>
      </c>
      <c r="C11" t="str">
        <f t="shared" si="0"/>
        <v>IGCC</v>
      </c>
      <c r="D11" t="s">
        <v>93</v>
      </c>
    </row>
    <row r="12" spans="1:7">
      <c r="A12" t="s">
        <v>69</v>
      </c>
      <c r="C12" t="str">
        <f t="shared" si="0"/>
        <v>Bio Power</v>
      </c>
      <c r="D12" t="s">
        <v>195</v>
      </c>
    </row>
    <row r="13" spans="1:7">
      <c r="A13" t="s">
        <v>69</v>
      </c>
      <c r="C13" t="str">
        <f t="shared" si="0"/>
        <v>Solar Util</v>
      </c>
      <c r="D13" t="s">
        <v>196</v>
      </c>
    </row>
    <row r="14" spans="1:7">
      <c r="A14" t="s">
        <v>69</v>
      </c>
      <c r="C14" t="str">
        <f t="shared" si="0"/>
        <v>Wind onshore</v>
      </c>
      <c r="D14" t="s">
        <v>94</v>
      </c>
    </row>
    <row r="15" spans="1:7">
      <c r="A15" t="s">
        <v>69</v>
      </c>
      <c r="C15" t="str">
        <f t="shared" si="0"/>
        <v>Wind offshore</v>
      </c>
      <c r="D15" t="s">
        <v>95</v>
      </c>
    </row>
    <row r="16" spans="1:7">
      <c r="A16" t="s">
        <v>69</v>
      </c>
      <c r="C16" t="str">
        <f t="shared" si="0"/>
        <v>Geothermal P</v>
      </c>
      <c r="D16" t="s">
        <v>197</v>
      </c>
    </row>
    <row r="17" spans="1:4">
      <c r="A17" t="s">
        <v>69</v>
      </c>
      <c r="C17" t="str">
        <f t="shared" si="0"/>
        <v>Hydro Dam</v>
      </c>
      <c r="D17" t="s">
        <v>201</v>
      </c>
    </row>
    <row r="18" spans="1:4">
      <c r="A18" t="s">
        <v>69</v>
      </c>
      <c r="C18" t="str">
        <f t="shared" si="0"/>
        <v>Hydro RoR</v>
      </c>
      <c r="D18" t="s">
        <v>198</v>
      </c>
    </row>
    <row r="19" spans="1:4">
      <c r="A19" t="s">
        <v>69</v>
      </c>
      <c r="C19" t="str">
        <f t="shared" si="0"/>
        <v>Nuclear P</v>
      </c>
      <c r="D19" t="s">
        <v>199</v>
      </c>
    </row>
    <row r="20" spans="1:4">
      <c r="A20" t="s">
        <v>69</v>
      </c>
      <c r="C20" t="str">
        <f t="shared" si="0"/>
        <v>Nuclear SMR</v>
      </c>
      <c r="D20" t="s">
        <v>200</v>
      </c>
    </row>
    <row r="21" spans="1:4">
      <c r="A21" t="s">
        <v>69</v>
      </c>
      <c r="C21" t="str">
        <f t="shared" si="0"/>
        <v>Hydro pumped stg</v>
      </c>
      <c r="D21" t="s">
        <v>96</v>
      </c>
    </row>
    <row r="22" spans="1:4">
      <c r="A22" t="s">
        <v>69</v>
      </c>
      <c r="C22" t="str">
        <f t="shared" si="0"/>
        <v>Util Batt Stg</v>
      </c>
      <c r="D22" t="s">
        <v>97</v>
      </c>
    </row>
    <row r="23" spans="1:4">
      <c r="A23" t="s">
        <v>69</v>
      </c>
      <c r="C23" t="str">
        <f t="shared" si="0"/>
        <v>EV Batt</v>
      </c>
      <c r="D23" t="s">
        <v>98</v>
      </c>
    </row>
    <row r="24" spans="1:4">
      <c r="A24" t="s">
        <v>69</v>
      </c>
      <c r="C24" t="str">
        <f t="shared" si="0"/>
        <v>Demand</v>
      </c>
      <c r="D24" t="s">
        <v>162</v>
      </c>
    </row>
    <row r="25" spans="1:4">
      <c r="A25" t="s">
        <v>69</v>
      </c>
      <c r="C25" t="str">
        <f t="shared" si="0"/>
        <v>Transformers Dn</v>
      </c>
      <c r="D25" t="s">
        <v>228</v>
      </c>
    </row>
    <row r="26" spans="1:4">
      <c r="A26" t="s">
        <v>69</v>
      </c>
      <c r="C26" t="str">
        <f t="shared" si="0"/>
        <v>Transformers Up</v>
      </c>
      <c r="D26" t="s">
        <v>229</v>
      </c>
    </row>
    <row r="27" spans="1:4">
      <c r="A27" t="s">
        <v>69</v>
      </c>
      <c r="C27" t="str">
        <f t="shared" si="0"/>
        <v>Grid-220V</v>
      </c>
      <c r="D27" t="s">
        <v>205</v>
      </c>
    </row>
    <row r="28" spans="1:4">
      <c r="A28" t="s">
        <v>69</v>
      </c>
      <c r="C28" t="str">
        <f t="shared" si="0"/>
        <v>Grid-400V</v>
      </c>
      <c r="D28" t="s">
        <v>206</v>
      </c>
    </row>
    <row r="29" spans="1:4">
      <c r="A29" t="s">
        <v>69</v>
      </c>
      <c r="C29" t="str">
        <f t="shared" si="0"/>
        <v>Grid-380V</v>
      </c>
      <c r="D29" t="s">
        <v>207</v>
      </c>
    </row>
    <row r="30" spans="1:4">
      <c r="A30" t="s">
        <v>69</v>
      </c>
      <c r="C30" t="str">
        <f t="shared" si="0"/>
        <v>Grid-225V</v>
      </c>
      <c r="D30" t="s">
        <v>208</v>
      </c>
    </row>
    <row r="31" spans="1:4">
      <c r="A31" t="s">
        <v>69</v>
      </c>
      <c r="C31" t="str">
        <f t="shared" si="0"/>
        <v>Grid-330V</v>
      </c>
      <c r="D31" t="s">
        <v>209</v>
      </c>
    </row>
    <row r="32" spans="1:4">
      <c r="A32" t="s">
        <v>69</v>
      </c>
      <c r="C32" t="str">
        <f t="shared" si="0"/>
        <v>Grid-275V</v>
      </c>
      <c r="D32" t="s">
        <v>210</v>
      </c>
    </row>
    <row r="33" spans="1:4">
      <c r="A33" t="s">
        <v>69</v>
      </c>
      <c r="C33" t="str">
        <f t="shared" si="0"/>
        <v>Grid-420V</v>
      </c>
      <c r="D33" t="s">
        <v>211</v>
      </c>
    </row>
    <row r="34" spans="1:4">
      <c r="A34" t="s">
        <v>69</v>
      </c>
      <c r="C34" t="str">
        <f t="shared" si="0"/>
        <v>Grid-300V</v>
      </c>
      <c r="D34" t="s">
        <v>212</v>
      </c>
    </row>
    <row r="35" spans="1:4">
      <c r="A35" t="s">
        <v>69</v>
      </c>
      <c r="C35" t="str">
        <f t="shared" si="0"/>
        <v>Grid-500V</v>
      </c>
      <c r="D35" t="s">
        <v>213</v>
      </c>
    </row>
    <row r="36" spans="1:4">
      <c r="A36" t="s">
        <v>69</v>
      </c>
      <c r="C36" t="str">
        <f t="shared" si="0"/>
        <v>Grid-750V</v>
      </c>
      <c r="D36" t="s">
        <v>214</v>
      </c>
    </row>
    <row r="37" spans="1:4">
      <c r="A37" t="s">
        <v>69</v>
      </c>
      <c r="C37" t="str">
        <f t="shared" si="0"/>
        <v>Grid-450V</v>
      </c>
      <c r="D37" t="s">
        <v>215</v>
      </c>
    </row>
    <row r="38" spans="1:4">
      <c r="A38" t="s">
        <v>69</v>
      </c>
      <c r="C38" t="str">
        <f t="shared" si="0"/>
        <v>Grid-515V</v>
      </c>
      <c r="D38" t="s">
        <v>216</v>
      </c>
    </row>
    <row r="39" spans="1:4">
      <c r="A39" t="s">
        <v>69</v>
      </c>
      <c r="C39" t="str">
        <f t="shared" si="0"/>
        <v>Grid-525V</v>
      </c>
      <c r="D39" t="s">
        <v>217</v>
      </c>
    </row>
    <row r="40" spans="1:4">
      <c r="A40" t="s">
        <v>69</v>
      </c>
      <c r="C40" t="str">
        <f t="shared" si="0"/>
        <v>Grid-320V</v>
      </c>
      <c r="D40" t="s">
        <v>218</v>
      </c>
    </row>
    <row r="41" spans="1:4">
      <c r="A41" t="s">
        <v>69</v>
      </c>
      <c r="C41" t="str">
        <f t="shared" si="0"/>
        <v>Grid-150V</v>
      </c>
      <c r="D41" t="s">
        <v>219</v>
      </c>
    </row>
    <row r="42" spans="1:4">
      <c r="A42" t="s">
        <v>69</v>
      </c>
      <c r="C42" t="str">
        <f t="shared" si="0"/>
        <v>Grid-270V</v>
      </c>
      <c r="D42" t="s">
        <v>220</v>
      </c>
    </row>
    <row r="43" spans="1:4">
      <c r="A43" t="s">
        <v>69</v>
      </c>
      <c r="C43" t="str">
        <f t="shared" si="0"/>
        <v>Grid-350V</v>
      </c>
      <c r="D43" t="s">
        <v>221</v>
      </c>
    </row>
    <row r="44" spans="1:4">
      <c r="A44" t="s">
        <v>69</v>
      </c>
      <c r="C44" t="str">
        <f t="shared" si="0"/>
        <v>Grid-250V</v>
      </c>
      <c r="D44" t="s">
        <v>222</v>
      </c>
    </row>
    <row r="45" spans="1:4">
      <c r="A45" t="s">
        <v>69</v>
      </c>
      <c r="C45" t="str">
        <f t="shared" si="0"/>
        <v>Grid-200V</v>
      </c>
      <c r="D45" t="s">
        <v>223</v>
      </c>
    </row>
    <row r="46" spans="1:4">
      <c r="A46" t="s">
        <v>69</v>
      </c>
      <c r="C46" t="str">
        <f t="shared" si="0"/>
        <v>Grid-236V</v>
      </c>
      <c r="D46" t="s">
        <v>224</v>
      </c>
    </row>
    <row r="47" spans="1:4">
      <c r="A47" t="s">
        <v>69</v>
      </c>
      <c r="C47" t="str">
        <f t="shared" si="0"/>
        <v>Grid-600V</v>
      </c>
      <c r="D47" t="s">
        <v>225</v>
      </c>
    </row>
    <row r="48" spans="1:4">
      <c r="A48" t="s">
        <v>69</v>
      </c>
      <c r="C48" t="str">
        <f t="shared" si="0"/>
        <v>Aggregators</v>
      </c>
      <c r="D48" t="s">
        <v>226</v>
      </c>
    </row>
    <row r="49" spans="1:5">
      <c r="A49" t="s">
        <v>69</v>
      </c>
      <c r="C49" t="str">
        <f t="shared" si="0"/>
        <v>DUMMY_IMP</v>
      </c>
      <c r="D49" t="s">
        <v>227</v>
      </c>
    </row>
    <row r="50" spans="1:5">
      <c r="A50" t="s">
        <v>69</v>
      </c>
      <c r="B50" t="s">
        <v>261</v>
      </c>
      <c r="C50" t="s">
        <v>132</v>
      </c>
      <c r="E50" t="s">
        <v>136</v>
      </c>
    </row>
    <row r="51" spans="1:5">
      <c r="A51" t="s">
        <v>69</v>
      </c>
      <c r="B51" t="s">
        <v>261</v>
      </c>
      <c r="C51" t="s">
        <v>133</v>
      </c>
      <c r="E51" t="s">
        <v>137</v>
      </c>
    </row>
    <row r="52" spans="1:5">
      <c r="A52" t="s">
        <v>69</v>
      </c>
      <c r="B52" t="s">
        <v>138</v>
      </c>
      <c r="C52" t="s">
        <v>134</v>
      </c>
      <c r="E52" t="s">
        <v>136</v>
      </c>
    </row>
    <row r="53" spans="1:5">
      <c r="A53" t="s">
        <v>69</v>
      </c>
      <c r="B53" t="s">
        <v>138</v>
      </c>
      <c r="C53" t="s">
        <v>135</v>
      </c>
      <c r="E53" t="s">
        <v>137</v>
      </c>
    </row>
    <row r="54" spans="1:5">
      <c r="A54" t="s">
        <v>69</v>
      </c>
      <c r="B54" t="s">
        <v>100</v>
      </c>
      <c r="C54" t="s">
        <v>3</v>
      </c>
    </row>
    <row r="55" spans="1:5">
      <c r="A55" t="s">
        <v>69</v>
      </c>
      <c r="B55" t="s">
        <v>101</v>
      </c>
      <c r="C55" t="s">
        <v>102</v>
      </c>
    </row>
    <row r="56" spans="1:5">
      <c r="A56" t="s">
        <v>69</v>
      </c>
      <c r="B56" t="s">
        <v>113</v>
      </c>
      <c r="C56" t="s">
        <v>114</v>
      </c>
    </row>
    <row r="57" spans="1:5">
      <c r="A57" t="s">
        <v>392</v>
      </c>
      <c r="B57" t="s">
        <v>393</v>
      </c>
      <c r="C57" t="s">
        <v>394</v>
      </c>
    </row>
    <row r="58" spans="1:5">
      <c r="A58" t="s">
        <v>392</v>
      </c>
      <c r="B58" t="s">
        <v>395</v>
      </c>
      <c r="C58" t="s">
        <v>98</v>
      </c>
    </row>
    <row r="59" spans="1:5">
      <c r="A59" t="s">
        <v>392</v>
      </c>
      <c r="B59" t="s">
        <v>396</v>
      </c>
      <c r="C59" t="s">
        <v>276</v>
      </c>
    </row>
    <row r="60" spans="1:5">
      <c r="A60" t="s">
        <v>402</v>
      </c>
      <c r="B60" t="s">
        <v>120</v>
      </c>
      <c r="C60" t="s">
        <v>401</v>
      </c>
    </row>
    <row r="61" spans="1:5">
      <c r="A61" t="s">
        <v>402</v>
      </c>
      <c r="B61" t="s">
        <v>403</v>
      </c>
      <c r="C61" t="s">
        <v>404</v>
      </c>
    </row>
    <row r="62" spans="1:5">
      <c r="A62" t="s">
        <v>402</v>
      </c>
      <c r="B62" t="s">
        <v>405</v>
      </c>
      <c r="C62" t="s">
        <v>406</v>
      </c>
    </row>
    <row r="63" spans="1:5">
      <c r="A63" t="s">
        <v>402</v>
      </c>
      <c r="B63" t="s">
        <v>407</v>
      </c>
      <c r="C63" t="s">
        <v>408</v>
      </c>
    </row>
    <row r="64" spans="1:5">
      <c r="A64" t="s">
        <v>402</v>
      </c>
      <c r="B64" t="s">
        <v>409</v>
      </c>
      <c r="C64" t="s">
        <v>410</v>
      </c>
    </row>
    <row r="65" spans="1:3">
      <c r="A65" t="s">
        <v>402</v>
      </c>
      <c r="B65" t="s">
        <v>411</v>
      </c>
      <c r="C65" t="s">
        <v>412</v>
      </c>
    </row>
    <row r="66" spans="1:3">
      <c r="A66" t="s">
        <v>402</v>
      </c>
      <c r="B66" t="s">
        <v>413</v>
      </c>
      <c r="C66" t="s">
        <v>414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40625" defaultRowHeight="15"/>
  <cols>
    <col min="1" max="1" width="13.7109375" bestFit="1" customWidth="1"/>
    <col min="2" max="2" width="12.7109375" bestFit="1" customWidth="1"/>
    <col min="3" max="3" width="11" bestFit="1" customWidth="1"/>
    <col min="4" max="4" width="28.85546875" bestFit="1" customWidth="1"/>
    <col min="5" max="5" width="7.5703125" bestFit="1" customWidth="1"/>
    <col min="6" max="6" width="11.7109375" bestFit="1" customWidth="1"/>
    <col min="7" max="7" width="12.140625" bestFit="1" customWidth="1"/>
    <col min="8" max="8" width="12.28515625" bestFit="1" customWidth="1"/>
  </cols>
  <sheetData>
    <row r="1" spans="1:8">
      <c r="A1" t="s">
        <v>73</v>
      </c>
    </row>
    <row r="2" spans="1:8">
      <c r="A2" t="s">
        <v>53</v>
      </c>
      <c r="B2" t="s">
        <v>54</v>
      </c>
      <c r="C2" t="s">
        <v>55</v>
      </c>
      <c r="D2" t="s">
        <v>74</v>
      </c>
      <c r="E2" t="s">
        <v>75</v>
      </c>
      <c r="F2" t="s">
        <v>77</v>
      </c>
      <c r="G2" t="s">
        <v>76</v>
      </c>
      <c r="H2" t="s">
        <v>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G3"/>
  <sheetViews>
    <sheetView workbookViewId="0"/>
  </sheetViews>
  <sheetFormatPr defaultRowHeight="15"/>
  <cols>
    <col min="4" max="4" width="10.85546875" bestFit="1" customWidth="1"/>
  </cols>
  <sheetData>
    <row r="1" spans="1:7">
      <c r="A1" t="s">
        <v>38</v>
      </c>
    </row>
    <row r="2" spans="1:7">
      <c r="A2" t="s">
        <v>32</v>
      </c>
      <c r="B2" t="s">
        <v>9</v>
      </c>
      <c r="C2" t="s">
        <v>39</v>
      </c>
      <c r="D2" t="s">
        <v>4</v>
      </c>
      <c r="E2" t="s">
        <v>0</v>
      </c>
      <c r="F2" t="s">
        <v>40</v>
      </c>
      <c r="G2" t="s">
        <v>41</v>
      </c>
    </row>
    <row r="3" spans="1:7">
      <c r="F3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D8" sqref="D8"/>
    </sheetView>
  </sheetViews>
  <sheetFormatPr defaultColWidth="9.140625" defaultRowHeight="15"/>
  <cols>
    <col min="1" max="1" width="10.140625" bestFit="1" customWidth="1"/>
    <col min="2" max="2" width="8.7109375" bestFit="1" customWidth="1"/>
    <col min="3" max="3" width="5.85546875" bestFit="1" customWidth="1"/>
    <col min="4" max="4" width="12" bestFit="1" customWidth="1"/>
    <col min="6" max="6" width="2" bestFit="1" customWidth="1"/>
    <col min="7" max="7" width="12.71093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31</v>
      </c>
    </row>
    <row r="2" spans="1:4">
      <c r="A2" t="s">
        <v>32</v>
      </c>
      <c r="B2" s="1" t="s">
        <v>33</v>
      </c>
      <c r="C2" s="1" t="s">
        <v>34</v>
      </c>
      <c r="D2" s="1" t="s">
        <v>35</v>
      </c>
    </row>
    <row r="3" spans="1:4">
      <c r="A3" t="s">
        <v>85</v>
      </c>
      <c r="B3" t="s">
        <v>86</v>
      </c>
      <c r="C3" t="s">
        <v>8</v>
      </c>
      <c r="D3">
        <f>1/8.76</f>
        <v>0.11415525114155252</v>
      </c>
    </row>
    <row r="4" spans="1:4">
      <c r="A4" t="s">
        <v>85</v>
      </c>
      <c r="B4" t="s">
        <v>110</v>
      </c>
      <c r="C4" t="s">
        <v>112</v>
      </c>
      <c r="D4">
        <f>1/8.76*100</f>
        <v>11.415525114155251</v>
      </c>
    </row>
    <row r="5" spans="1:4">
      <c r="A5" t="s">
        <v>85</v>
      </c>
      <c r="B5" t="s">
        <v>127</v>
      </c>
      <c r="C5" t="s">
        <v>131</v>
      </c>
      <c r="D5">
        <v>1E-3</v>
      </c>
    </row>
    <row r="6" spans="1:4">
      <c r="A6" t="s">
        <v>85</v>
      </c>
      <c r="B6" t="s">
        <v>128</v>
      </c>
      <c r="C6" t="s">
        <v>131</v>
      </c>
      <c r="D6">
        <v>-1E-3</v>
      </c>
    </row>
    <row r="7" spans="1:4">
      <c r="A7" t="s">
        <v>85</v>
      </c>
      <c r="B7" t="s">
        <v>140</v>
      </c>
      <c r="C7" t="s">
        <v>142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ScenMap_OLD</vt:lpstr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Himanshu</cp:lastModifiedBy>
  <cp:lastPrinted>2013-04-26T17:54:26Z</cp:lastPrinted>
  <dcterms:created xsi:type="dcterms:W3CDTF">2011-02-22T06:05:52Z</dcterms:created>
  <dcterms:modified xsi:type="dcterms:W3CDTF">2025-11-05T09:46:34Z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